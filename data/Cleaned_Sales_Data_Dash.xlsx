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hidePivotFieldList="1" defaultThemeVersion="166925"/>
  <mc:AlternateContent xmlns:mc="http://schemas.openxmlformats.org/markup-compatibility/2006">
    <mc:Choice Requires="x15">
      <x15ac:absPath xmlns:x15ac="http://schemas.microsoft.com/office/spreadsheetml/2010/11/ac" url="C:\Users\User\Desktop\musab\"/>
    </mc:Choice>
  </mc:AlternateContent>
  <xr:revisionPtr revIDLastSave="0" documentId="8_{B5F456AD-41E1-460C-9D99-7AC8C1454A94}" xr6:coauthVersionLast="47" xr6:coauthVersionMax="47" xr10:uidLastSave="{00000000-0000-0000-0000-000000000000}"/>
  <bookViews>
    <workbookView xWindow="-108" yWindow="-108" windowWidth="23256" windowHeight="12456" firstSheet="6" activeTab="6" xr2:uid="{00000000-000D-0000-FFFF-FFFF00000000}"/>
  </bookViews>
  <sheets>
    <sheet name="order" sheetId="8" r:id="rId1"/>
    <sheet name="Sales_Data" sheetId="1" r:id="rId2"/>
    <sheet name="Product_Sales" sheetId="2" r:id="rId3"/>
    <sheet name="Region Sales" sheetId="3" r:id="rId4"/>
    <sheet name="Category Sales" sheetId="4" r:id="rId5"/>
    <sheet name="Monthly Sales" sheetId="5" r:id="rId6"/>
    <sheet name="Dashboard2" sheetId="7" r:id="rId7"/>
  </sheets>
  <definedNames>
    <definedName name="_xlnm._FilterDatabase" localSheetId="1" hidden="1">Sales_Data!$F$1:$F$101</definedName>
    <definedName name="NativeTimeline_Date">#N/A</definedName>
    <definedName name="Slicer_Category">#N/A</definedName>
    <definedName name="Slicer_Month">#N/A</definedName>
    <definedName name="Slicer_Region">#N/A</definedName>
  </definedNames>
  <calcPr calcId="191028"/>
  <pivotCaches>
    <pivotCache cacheId="10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D8" i="8"/>
  <c r="C11" i="5"/>
</calcChain>
</file>

<file path=xl/sharedStrings.xml><?xml version="1.0" encoding="utf-8"?>
<sst xmlns="http://schemas.openxmlformats.org/spreadsheetml/2006/main" count="346" uniqueCount="35">
  <si>
    <t xml:space="preserve">Count of  Quantity </t>
  </si>
  <si>
    <t>Sum of  Total Revenue</t>
  </si>
  <si>
    <t xml:space="preserve">Order ID </t>
  </si>
  <si>
    <t xml:space="preserve"> Date </t>
  </si>
  <si>
    <t xml:space="preserve"> Product </t>
  </si>
  <si>
    <t xml:space="preserve"> Category </t>
  </si>
  <si>
    <t xml:space="preserve"> Region </t>
  </si>
  <si>
    <t xml:space="preserve"> Quantity </t>
  </si>
  <si>
    <t xml:space="preserve"> Unit Price </t>
  </si>
  <si>
    <t xml:space="preserve"> Discount </t>
  </si>
  <si>
    <t xml:space="preserve"> Total Revenue</t>
  </si>
  <si>
    <t>Month</t>
  </si>
  <si>
    <t>Month #</t>
  </si>
  <si>
    <t xml:space="preserve"> Laptop </t>
  </si>
  <si>
    <t xml:space="preserve"> Electronics </t>
  </si>
  <si>
    <t xml:space="preserve"> North </t>
  </si>
  <si>
    <t xml:space="preserve"> Mouse </t>
  </si>
  <si>
    <t xml:space="preserve"> South </t>
  </si>
  <si>
    <t xml:space="preserve"> Keyboard </t>
  </si>
  <si>
    <t xml:space="preserve"> East </t>
  </si>
  <si>
    <t xml:space="preserve"> Headphones </t>
  </si>
  <si>
    <t xml:space="preserve"> West </t>
  </si>
  <si>
    <t xml:space="preserve"> Monitor </t>
  </si>
  <si>
    <t xml:space="preserve"> Chair </t>
  </si>
  <si>
    <t xml:space="preserve"> Furniture </t>
  </si>
  <si>
    <t xml:space="preserve"> Desk </t>
  </si>
  <si>
    <t xml:space="preserve"> Lamp </t>
  </si>
  <si>
    <t>Grand Total</t>
  </si>
  <si>
    <t>May</t>
  </si>
  <si>
    <t>June</t>
  </si>
  <si>
    <t>July</t>
  </si>
  <si>
    <t>August</t>
  </si>
  <si>
    <t>September</t>
  </si>
  <si>
    <t>October</t>
  </si>
  <si>
    <t>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</si>
</sst>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quot;$&quot;#,##0.00"/>
  </numFmts>
  <fonts count="2">
    <font>
      <sz val="11"/>
      <color theme="1"/>
      <name val="Arial"/>
      <family val="2"/>
      <scheme val="minor"/>
    </font>
    <font>
      <i/>
      <sz val="11"/>
      <color theme="1"/>
      <name val="Arial"/>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0" fontId="0" fillId="0" borderId="0" xfId="0" applyNumberFormat="1"/>
    <xf numFmtId="0" fontId="0" fillId="0" borderId="0" xfId="0" applyAlignment="1">
      <alignment horizontal="center" wrapText="1"/>
    </xf>
    <xf numFmtId="0" fontId="0" fillId="0" borderId="0" xfId="0" applyAlignment="1">
      <alignment horizontal="center"/>
    </xf>
    <xf numFmtId="165" fontId="0" fillId="0" borderId="0" xfId="0" applyNumberFormat="1"/>
    <xf numFmtId="0" fontId="0" fillId="0" borderId="0" xfId="0" pivotButton="1"/>
    <xf numFmtId="14" fontId="0" fillId="0" borderId="0" xfId="0" applyNumberFormat="1" applyAlignment="1">
      <alignment horizontal="left"/>
    </xf>
    <xf numFmtId="14" fontId="0" fillId="0" borderId="0" xfId="0" applyNumberFormat="1"/>
    <xf numFmtId="14" fontId="0" fillId="0" borderId="0" xfId="0" applyNumberFormat="1"/>
    <xf numFmtId="0" fontId="0" fillId="2" borderId="0" xfId="0" applyFill="1"/>
    <xf numFmtId="0" fontId="0" fillId="3" borderId="0" xfId="0" applyFill="1"/>
  </cellXfs>
  <cellStyles count="1">
    <cellStyle name="Normal" xfId="0" builtinId="0"/>
  </cellStyles>
  <dxfs count="10">
    <dxf>
      <numFmt numFmtId="0" formatCode="General"/>
    </dxf>
    <dxf>
      <numFmt numFmtId="19" formatCode="m/d/yyyy"/>
    </dxf>
    <dxf>
      <numFmt numFmtId="165" formatCode="&quot;$&quot;#,##0.00"/>
    </dxf>
    <dxf>
      <numFmt numFmtId="14" formatCode="0.00%"/>
    </dxf>
    <dxf>
      <numFmt numFmtId="19" formatCode="m/d/yyyy"/>
      <alignment horizontal="left" vertical="bottom" textRotation="0" wrapText="0" indent="0" justifyLastLine="0" shrinkToFit="0" readingOrder="0"/>
    </dxf>
    <dxf>
      <alignment horizontal="center" vertical="bottom" textRotation="0" wrapText="1" indent="0" justifyLastLine="0" shrinkToFit="0" readingOrder="0"/>
    </dxf>
    <dxf>
      <numFmt numFmtId="19" formatCode="m/d/yyyy"/>
    </dxf>
    <dxf>
      <numFmt numFmtId="19" formatCode="m/d/yyyy"/>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Medium9">
    <tableStyle name="Timeline Style 1" pivot="0" table="0" count="8" xr9:uid="{483F9A35-C0E6-409B-90D2-8B5E9576630A}">
      <tableStyleElement type="wholeTable" dxfId="9"/>
      <tableStyleElement type="headerRow" dxfId="8"/>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[Cleaned_Sales_Data_Dash.xlsx]Monthly Sales!PivotTable4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50000"/>
              </a:schemeClr>
            </a:solidFill>
            <a:round/>
          </a:ln>
          <a:effectLst/>
        </c:spPr>
        <c:marker>
          <c:symbol val="circle"/>
          <c:size val="1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lumMod val="50000"/>
              </a:schemeClr>
            </a:solidFill>
            <a:round/>
          </a:ln>
          <a:effectLst/>
        </c:spPr>
        <c:marker>
          <c:symbol val="circle"/>
          <c:size val="1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lumMod val="50000"/>
              </a:schemeClr>
            </a:solidFill>
            <a:round/>
          </a:ln>
          <a:effectLst/>
        </c:spPr>
        <c:marker>
          <c:symbol val="circle"/>
          <c:size val="1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lumMod val="50000"/>
                </a:schemeClr>
              </a:solidFill>
              <a:round/>
            </a:ln>
            <a:effectLst/>
          </c:spPr>
          <c:marker>
            <c:symbol val="circle"/>
            <c:size val="1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cat>
            <c:strRef>
              <c:f>'Monthly Sales'!$A$4:$A$11</c:f>
              <c:strCache>
                <c:ptCount val="7"/>
                <c:pt idx="0">
                  <c:v>May</c:v>
                </c:pt>
                <c:pt idx="1">
                  <c:v>June</c:v>
                </c:pt>
                <c:pt idx="2">
                  <c:v>July</c:v>
                </c:pt>
                <c:pt idx="3">
                  <c:v>August</c:v>
                </c:pt>
                <c:pt idx="4">
                  <c:v>September</c:v>
                </c:pt>
                <c:pt idx="5">
                  <c:v>October</c:v>
                </c:pt>
                <c:pt idx="6">
                  <c:v>November</c:v>
                </c:pt>
              </c:strCache>
            </c:strRef>
          </c:cat>
          <c:val>
            <c:numRef>
              <c:f>'Monthly Sales'!$B$4:$B$11</c:f>
              <c:numCache>
                <c:formatCode>"$"#,##0.00</c:formatCode>
                <c:ptCount val="7"/>
                <c:pt idx="0">
                  <c:v>5487.5</c:v>
                </c:pt>
                <c:pt idx="1">
                  <c:v>5030.75</c:v>
                </c:pt>
                <c:pt idx="2">
                  <c:v>4525.1499999999996</c:v>
                </c:pt>
                <c:pt idx="3">
                  <c:v>5638.5</c:v>
                </c:pt>
                <c:pt idx="4">
                  <c:v>5700.2999999999993</c:v>
                </c:pt>
                <c:pt idx="5">
                  <c:v>5956.7</c:v>
                </c:pt>
                <c:pt idx="6">
                  <c:v>2918.6</c:v>
                </c:pt>
              </c:numCache>
            </c:numRef>
          </c:val>
          <c:smooth val="0"/>
          <c:extLst>
            <c:ext xmlns:c16="http://schemas.microsoft.com/office/drawing/2014/chart" uri="{C3380CC4-5D6E-409C-BE32-E72D297353CC}">
              <c16:uniqueId val="{00000000-D183-4DEE-9B7C-14A8A1D0AF42}"/>
            </c:ext>
          </c:extLst>
        </c:ser>
        <c:dLbls>
          <c:showLegendKey val="0"/>
          <c:showVal val="0"/>
          <c:showCatName val="0"/>
          <c:showSerName val="0"/>
          <c:showPercent val="0"/>
          <c:showBubbleSize val="0"/>
        </c:dLbls>
        <c:marker val="1"/>
        <c:smooth val="0"/>
        <c:axId val="1359600647"/>
        <c:axId val="1360401927"/>
      </c:lineChart>
      <c:catAx>
        <c:axId val="1359600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401927"/>
        <c:crosses val="autoZero"/>
        <c:auto val="1"/>
        <c:lblAlgn val="ctr"/>
        <c:lblOffset val="100"/>
        <c:noMultiLvlLbl val="0"/>
      </c:catAx>
      <c:valAx>
        <c:axId val="1360401927"/>
        <c:scaling>
          <c:orientation val="minMax"/>
          <c:min val="1000"/>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00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[Cleaned_Sales_Data_Dash.xlsx]Category Sales!PivotTable3</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D0D0D"/>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D0D0D"/>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D0D0D"/>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D0D0D"/>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'Category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A1-4A12-853B-F0076F1626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A1-4A12-853B-F0076F16263C}"/>
              </c:ext>
            </c:extLst>
          </c:dPt>
          <c:dLbls>
            <c:spPr>
              <a:noFill/>
              <a:ln>
                <a:solidFill>
                  <a:schemeClr val="accent1"/>
                </a:solid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showLegendKey val="0"/>
            <c:showVal val="0"/>
            <c:showCatName val="0"/>
            <c:showSerName val="0"/>
            <c:showPercent val="1"/>
            <c:showBubbleSize val="0"/>
            <c:showLeaderLines val="0"/>
            <c:extLst>
              <c:ext xmlns:c15="http://schemas.microsoft.com/office/drawing/2012/chart" uri="{CE6537A1-D6FC-4f65-9D91-7224C49458BB}"/>
            </c:extLst>
          </c:dLbls>
          <c:cat>
            <c:strRef>
              <c:f>'Category Sales'!$A$4:$A$6</c:f>
              <c:strCache>
                <c:ptCount val="2"/>
                <c:pt idx="0">
                  <c:v> Electronics </c:v>
                </c:pt>
                <c:pt idx="1">
                  <c:v> Furniture </c:v>
                </c:pt>
              </c:strCache>
            </c:strRef>
          </c:cat>
          <c:val>
            <c:numRef>
              <c:f>'Category Sales'!$B$4:$B$6</c:f>
              <c:numCache>
                <c:formatCode>"$"#,##0.00</c:formatCode>
                <c:ptCount val="2"/>
                <c:pt idx="0">
                  <c:v>25163.250000000004</c:v>
                </c:pt>
                <c:pt idx="1">
                  <c:v>10094.25</c:v>
                </c:pt>
              </c:numCache>
            </c:numRef>
          </c:val>
          <c:extLst>
            <c:ext xmlns:c16="http://schemas.microsoft.com/office/drawing/2014/chart" uri="{C3380CC4-5D6E-409C-BE32-E72D297353CC}">
              <c16:uniqueId val="{00000004-B6A1-4A12-853B-F0076F16263C}"/>
            </c:ext>
          </c:extLst>
        </c:ser>
        <c:dLbls>
          <c:showLegendKey val="0"/>
          <c:showVal val="1"/>
          <c:showCatName val="0"/>
          <c:showSerName val="0"/>
          <c:showPercent val="0"/>
          <c:showBubbleSize val="0"/>
          <c:showLeaderLines val="0"/>
        </c:dLbls>
        <c:firstSliceAng val="0"/>
        <c:holeSize val="56"/>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[Cleaned_Sales_Data_Dash.xlsx]Region Sales!PivotTable2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a:ea typeface="Arial Black"/>
                  <a:cs typeface="Arial Black"/>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a:ea typeface="Arial Black"/>
                  <a:cs typeface="Arial Black"/>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a:ea typeface="Arial Black"/>
                  <a:cs typeface="Arial Black"/>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doughnutChart>
        <c:varyColors val="1"/>
        <c:ser>
          <c:idx val="0"/>
          <c:order val="0"/>
          <c:tx>
            <c:strRef>
              <c:f>'Region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6B-4F37-84E3-307C89FC6D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6B-4F37-84E3-307C89FC6D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6B-4F37-84E3-307C89FC6D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6B-4F37-84E3-307C89FC6D3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a:ea typeface="Arial Black"/>
                    <a:cs typeface="Arial Black"/>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'Region Sales'!$A$4:$A$8</c:f>
              <c:strCache>
                <c:ptCount val="4"/>
                <c:pt idx="0">
                  <c:v> North </c:v>
                </c:pt>
                <c:pt idx="1">
                  <c:v> East </c:v>
                </c:pt>
                <c:pt idx="2">
                  <c:v> South </c:v>
                </c:pt>
                <c:pt idx="3">
                  <c:v> West </c:v>
                </c:pt>
              </c:strCache>
            </c:strRef>
          </c:cat>
          <c:val>
            <c:numRef>
              <c:f>'Region Sales'!$B$4:$B$8</c:f>
              <c:numCache>
                <c:formatCode>"$"#,##0.00</c:formatCode>
                <c:ptCount val="4"/>
                <c:pt idx="0">
                  <c:v>18129.25</c:v>
                </c:pt>
                <c:pt idx="1">
                  <c:v>6569.2499999999991</c:v>
                </c:pt>
                <c:pt idx="2">
                  <c:v>5613</c:v>
                </c:pt>
                <c:pt idx="3">
                  <c:v>4946</c:v>
                </c:pt>
              </c:numCache>
            </c:numRef>
          </c:val>
          <c:extLst>
            <c:ext xmlns:c16="http://schemas.microsoft.com/office/drawing/2014/chart" uri="{C3380CC4-5D6E-409C-BE32-E72D297353CC}">
              <c16:uniqueId val="{00000008-106B-4F37-84E3-307C89FC6D3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[Cleaned_Sales_Data_Dash.xlsx]Product_Sales!PivotTable1</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Selling Products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Product_Sales!$B$3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Product_Sales!$A$4:$A$12</c:f>
              <c:strCache>
                <c:ptCount val="8"/>
                <c:pt idx="0">
                  <c:v> Laptop </c:v>
                </c:pt>
                <c:pt idx="1">
                  <c:v> Desk </c:v>
                </c:pt>
                <c:pt idx="2">
                  <c:v> Chair </c:v>
                </c:pt>
                <c:pt idx="3">
                  <c:v> Headphones </c:v>
                </c:pt>
                <c:pt idx="4">
                  <c:v> Monitor </c:v>
                </c:pt>
                <c:pt idx="5">
                  <c:v> Mouse </c:v>
                </c:pt>
                <c:pt idx="6">
                  <c:v> Keyboard </c:v>
                </c:pt>
                <c:pt idx="7">
                  <c:v> Lamp </c:v>
                </c:pt>
              </c:strCache>
            </c:strRef>
          </c:cat>
          <c:val>
            <c:numRef>
              <c:f>Product_Sales!$B$4:$B$12</c:f>
              <c:numCache>
                <c:formatCode>"$"#,##0.00</c:formatCode>
                <c:ptCount val="8"/>
                <c:pt idx="0">
                  <c:v>15020</c:v>
                </c:pt>
                <c:pt idx="1">
                  <c:v>4935.25</c:v>
                </c:pt>
                <c:pt idx="2">
                  <c:v>3531</c:v>
                </c:pt>
                <c:pt idx="3">
                  <c:v>3318</c:v>
                </c:pt>
                <c:pt idx="4">
                  <c:v>3109.25</c:v>
                </c:pt>
                <c:pt idx="5">
                  <c:v>2082</c:v>
                </c:pt>
                <c:pt idx="6">
                  <c:v>1634.0000000000002</c:v>
                </c:pt>
                <c:pt idx="7">
                  <c:v>1628</c:v>
                </c:pt>
              </c:numCache>
            </c:numRef>
          </c:val>
          <c:extLst>
            <c:ext xmlns:c16="http://schemas.microsoft.com/office/drawing/2014/chart" uri="{C3380CC4-5D6E-409C-BE32-E72D297353CC}">
              <c16:uniqueId val="{00000000-6832-4F26-B2B6-270C586EFBDF}"/>
            </c:ext>
          </c:extLst>
        </c:ser>
        <c:dLbls>
          <c:showLegendKey val="0"/>
          <c:showVal val="0"/>
          <c:showCatName val="0"/>
          <c:showSerName val="0"/>
          <c:showPercent val="0"/>
          <c:showBubbleSize val="0"/>
        </c:dLbls>
        <c:gapWidth val="227"/>
        <c:overlap val="100"/>
        <c:axId val="1743809031"/>
        <c:axId val="1284689927"/>
      </c:barChart>
      <c:catAx>
        <c:axId val="1743809031"/>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689927"/>
        <c:crosses val="autoZero"/>
        <c:auto val="1"/>
        <c:lblAlgn val="ctr"/>
        <c:lblOffset val="100"/>
        <c:noMultiLvlLbl val="0"/>
      </c:catAx>
      <c:valAx>
        <c:axId val="1284689927"/>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09031"/>
        <c:crosses val="autoZero"/>
        <c:crossBetween val="between"/>
        <c:majorUnit val="3000"/>
        <c:minorUnit val="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2.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hyperlink" Target="#Dashboard2!A1"/><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4.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76200</xdr:rowOff>
    </xdr:from>
    <xdr:to>
      <xdr:col>23</xdr:col>
      <xdr:colOff>28575</xdr:colOff>
      <xdr:row>4</xdr:row>
      <xdr:rowOff>85725</xdr:rowOff>
    </xdr:to>
    <xdr:sp macro="" textlink="">
      <xdr:nvSpPr>
        <xdr:cNvPr id="2" name="Rectangle: Rounded Corners 1">
          <a:extLst>
            <a:ext uri="{FF2B5EF4-FFF2-40B4-BE49-F238E27FC236}">
              <a16:creationId xmlns:a16="http://schemas.microsoft.com/office/drawing/2014/main" id="{B0B1E62F-658A-B0DE-573B-17AF0E2C0710}"/>
            </a:ext>
          </a:extLst>
        </xdr:cNvPr>
        <xdr:cNvSpPr/>
      </xdr:nvSpPr>
      <xdr:spPr>
        <a:xfrm>
          <a:off x="4133850" y="76200"/>
          <a:ext cx="12030075" cy="695325"/>
        </a:xfrm>
        <a:prstGeom prst="roundRect">
          <a:avLst>
            <a:gd name="adj" fmla="val 757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l"/>
          <a:r>
            <a:rPr lang="en-US" sz="2400" b="1">
              <a:solidFill>
                <a:schemeClr val="accent1">
                  <a:lumMod val="50000"/>
                </a:schemeClr>
              </a:solidFill>
            </a:rPr>
            <a:t>Sales Report</a:t>
          </a:r>
        </a:p>
        <a:p>
          <a:pPr lvl="1" algn="l"/>
          <a:r>
            <a:rPr lang="en-US" sz="1100">
              <a:solidFill>
                <a:schemeClr val="bg2">
                  <a:lumMod val="50000"/>
                </a:schemeClr>
              </a:solidFill>
            </a:rPr>
            <a:t>By</a:t>
          </a:r>
          <a:r>
            <a:rPr lang="en-US" sz="1100" baseline="0">
              <a:solidFill>
                <a:schemeClr val="bg2">
                  <a:lumMod val="50000"/>
                </a:schemeClr>
              </a:solidFill>
            </a:rPr>
            <a:t> MUJAHID JABIR</a:t>
          </a:r>
          <a:endParaRPr lang="ar-EG" sz="1100">
            <a:solidFill>
              <a:schemeClr val="bg2">
                <a:lumMod val="50000"/>
              </a:schemeClr>
            </a:solidFill>
          </a:endParaRPr>
        </a:p>
      </xdr:txBody>
    </xdr:sp>
    <xdr:clientData/>
  </xdr:twoCellAnchor>
  <xdr:twoCellAnchor>
    <xdr:from>
      <xdr:col>5</xdr:col>
      <xdr:colOff>25400</xdr:colOff>
      <xdr:row>4</xdr:row>
      <xdr:rowOff>143932</xdr:rowOff>
    </xdr:from>
    <xdr:to>
      <xdr:col>23</xdr:col>
      <xdr:colOff>25400</xdr:colOff>
      <xdr:row>4</xdr:row>
      <xdr:rowOff>143932</xdr:rowOff>
    </xdr:to>
    <xdr:cxnSp macro="">
      <xdr:nvCxnSpPr>
        <xdr:cNvPr id="8" name="Straight Connector 7">
          <a:extLst>
            <a:ext uri="{FF2B5EF4-FFF2-40B4-BE49-F238E27FC236}">
              <a16:creationId xmlns:a16="http://schemas.microsoft.com/office/drawing/2014/main" id="{D9585AEE-DFF1-D595-5664-5855EB74CCF8}"/>
            </a:ext>
          </a:extLst>
        </xdr:cNvPr>
        <xdr:cNvCxnSpPr/>
      </xdr:nvCxnSpPr>
      <xdr:spPr>
        <a:xfrm>
          <a:off x="4178300" y="855132"/>
          <a:ext cx="12115800" cy="0"/>
        </a:xfrm>
        <a:prstGeom prst="line">
          <a:avLst/>
        </a:prstGeom>
        <a:ln w="76200">
          <a:solidFill>
            <a:schemeClr val="accent1">
              <a:lumMod val="50000"/>
            </a:schemeClr>
          </a:solidFill>
        </a:ln>
        <a:scene3d>
          <a:camera prst="orthographicFront"/>
          <a:lightRig rig="threePt" dir="t"/>
        </a:scene3d>
        <a:sp3d>
          <a:bevelT w="139700" h="139700" prst="divot"/>
        </a:sp3d>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0</xdr:colOff>
      <xdr:row>5</xdr:row>
      <xdr:rowOff>0</xdr:rowOff>
    </xdr:from>
    <xdr:to>
      <xdr:col>9</xdr:col>
      <xdr:colOff>441960</xdr:colOff>
      <xdr:row>9</xdr:row>
      <xdr:rowOff>50800</xdr:rowOff>
    </xdr:to>
    <xdr:sp macro="" textlink="">
      <xdr:nvSpPr>
        <xdr:cNvPr id="5" name="Rectangle: Rounded Corners 4">
          <a:extLst>
            <a:ext uri="{FF2B5EF4-FFF2-40B4-BE49-F238E27FC236}">
              <a16:creationId xmlns:a16="http://schemas.microsoft.com/office/drawing/2014/main" id="{01B1A4E3-37EC-47AF-B475-106CC7078AF9}"/>
            </a:ext>
          </a:extLst>
        </xdr:cNvPr>
        <xdr:cNvSpPr/>
      </xdr:nvSpPr>
      <xdr:spPr>
        <a:xfrm>
          <a:off x="4152900" y="889000"/>
          <a:ext cx="3134360" cy="76200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577850</xdr:colOff>
      <xdr:row>4</xdr:row>
      <xdr:rowOff>159807</xdr:rowOff>
    </xdr:from>
    <xdr:to>
      <xdr:col>14</xdr:col>
      <xdr:colOff>78740</xdr:colOff>
      <xdr:row>9</xdr:row>
      <xdr:rowOff>32807</xdr:rowOff>
    </xdr:to>
    <xdr:sp macro="" textlink="">
      <xdr:nvSpPr>
        <xdr:cNvPr id="19" name="Rectangle: Rounded Corners 18">
          <a:extLst>
            <a:ext uri="{FF2B5EF4-FFF2-40B4-BE49-F238E27FC236}">
              <a16:creationId xmlns:a16="http://schemas.microsoft.com/office/drawing/2014/main" id="{D1D58EB3-FE2F-42F0-8E15-82F4504955C6}"/>
            </a:ext>
          </a:extLst>
        </xdr:cNvPr>
        <xdr:cNvSpPr/>
      </xdr:nvSpPr>
      <xdr:spPr>
        <a:xfrm>
          <a:off x="7423150" y="871007"/>
          <a:ext cx="2866390" cy="76200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19</xdr:col>
      <xdr:colOff>0</xdr:colOff>
      <xdr:row>5</xdr:row>
      <xdr:rowOff>0</xdr:rowOff>
    </xdr:from>
    <xdr:to>
      <xdr:col>23</xdr:col>
      <xdr:colOff>0</xdr:colOff>
      <xdr:row>9</xdr:row>
      <xdr:rowOff>50800</xdr:rowOff>
    </xdr:to>
    <xdr:sp macro="" textlink="">
      <xdr:nvSpPr>
        <xdr:cNvPr id="20" name="Rectangle: Rounded Corners 19">
          <a:extLst>
            <a:ext uri="{FF2B5EF4-FFF2-40B4-BE49-F238E27FC236}">
              <a16:creationId xmlns:a16="http://schemas.microsoft.com/office/drawing/2014/main" id="{04CED62B-A79F-446A-BD9E-3EC056264A82}"/>
            </a:ext>
          </a:extLst>
        </xdr:cNvPr>
        <xdr:cNvSpPr/>
      </xdr:nvSpPr>
      <xdr:spPr>
        <a:xfrm>
          <a:off x="13576300" y="889000"/>
          <a:ext cx="2692400" cy="76200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14</xdr:col>
      <xdr:colOff>233680</xdr:colOff>
      <xdr:row>4</xdr:row>
      <xdr:rowOff>152400</xdr:rowOff>
    </xdr:from>
    <xdr:to>
      <xdr:col>18</xdr:col>
      <xdr:colOff>584200</xdr:colOff>
      <xdr:row>9</xdr:row>
      <xdr:rowOff>25400</xdr:rowOff>
    </xdr:to>
    <xdr:sp macro="" textlink="">
      <xdr:nvSpPr>
        <xdr:cNvPr id="21" name="Rectangle: Rounded Corners 20">
          <a:extLst>
            <a:ext uri="{FF2B5EF4-FFF2-40B4-BE49-F238E27FC236}">
              <a16:creationId xmlns:a16="http://schemas.microsoft.com/office/drawing/2014/main" id="{26F35BB9-C8F0-4BA5-8979-FD649BF2F906}"/>
            </a:ext>
          </a:extLst>
        </xdr:cNvPr>
        <xdr:cNvSpPr/>
      </xdr:nvSpPr>
      <xdr:spPr>
        <a:xfrm>
          <a:off x="10444480" y="863600"/>
          <a:ext cx="3042920" cy="76200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0</xdr:col>
      <xdr:colOff>0</xdr:colOff>
      <xdr:row>4</xdr:row>
      <xdr:rowOff>152399</xdr:rowOff>
    </xdr:from>
    <xdr:to>
      <xdr:col>1</xdr:col>
      <xdr:colOff>0</xdr:colOff>
      <xdr:row>13</xdr:row>
      <xdr:rowOff>15080</xdr:rowOff>
    </xdr:to>
    <xdr:pic>
      <xdr:nvPicPr>
        <xdr:cNvPr id="23" name="Graphic 22" descr="Monitor with solid fill">
          <a:hlinkClick xmlns:r="http://schemas.openxmlformats.org/officeDocument/2006/relationships" r:id="rId1"/>
          <a:extLst>
            <a:ext uri="{FF2B5EF4-FFF2-40B4-BE49-F238E27FC236}">
              <a16:creationId xmlns:a16="http://schemas.microsoft.com/office/drawing/2014/main" id="{1A9A6036-D5E9-E642-4E2E-5DC20A17605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838199"/>
          <a:ext cx="1466850" cy="1405731"/>
        </a:xfrm>
        <a:prstGeom prst="rect">
          <a:avLst/>
        </a:prstGeom>
      </xdr:spPr>
    </xdr:pic>
    <xdr:clientData/>
  </xdr:twoCellAnchor>
  <xdr:twoCellAnchor>
    <xdr:from>
      <xdr:col>5</xdr:col>
      <xdr:colOff>0</xdr:colOff>
      <xdr:row>9</xdr:row>
      <xdr:rowOff>50798</xdr:rowOff>
    </xdr:from>
    <xdr:to>
      <xdr:col>23</xdr:col>
      <xdr:colOff>0</xdr:colOff>
      <xdr:row>13</xdr:row>
      <xdr:rowOff>0</xdr:rowOff>
    </xdr:to>
    <xdr:sp macro="" textlink="">
      <xdr:nvSpPr>
        <xdr:cNvPr id="25" name="Rectangle: Rounded Corners 24">
          <a:extLst>
            <a:ext uri="{FF2B5EF4-FFF2-40B4-BE49-F238E27FC236}">
              <a16:creationId xmlns:a16="http://schemas.microsoft.com/office/drawing/2014/main" id="{8C714FBD-BB66-13F4-EA07-DCFF0D52C2C0}"/>
            </a:ext>
          </a:extLst>
        </xdr:cNvPr>
        <xdr:cNvSpPr/>
      </xdr:nvSpPr>
      <xdr:spPr>
        <a:xfrm>
          <a:off x="4152900" y="1650998"/>
          <a:ext cx="12115800" cy="660402"/>
        </a:xfrm>
        <a:prstGeom prst="roundRect">
          <a:avLst>
            <a:gd name="adj" fmla="val 757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lvl="1" algn="l"/>
          <a:endParaRPr lang="ar-EG" sz="1100">
            <a:solidFill>
              <a:schemeClr val="bg2">
                <a:lumMod val="50000"/>
              </a:schemeClr>
            </a:solidFill>
          </a:endParaRPr>
        </a:p>
      </xdr:txBody>
    </xdr:sp>
    <xdr:clientData/>
  </xdr:twoCellAnchor>
  <xdr:twoCellAnchor>
    <xdr:from>
      <xdr:col>4</xdr:col>
      <xdr:colOff>619890</xdr:colOff>
      <xdr:row>13</xdr:row>
      <xdr:rowOff>46564</xdr:rowOff>
    </xdr:from>
    <xdr:to>
      <xdr:col>23</xdr:col>
      <xdr:colOff>0</xdr:colOff>
      <xdr:row>13</xdr:row>
      <xdr:rowOff>46564</xdr:rowOff>
    </xdr:to>
    <xdr:cxnSp macro="">
      <xdr:nvCxnSpPr>
        <xdr:cNvPr id="26" name="Straight Connector 25">
          <a:extLst>
            <a:ext uri="{FF2B5EF4-FFF2-40B4-BE49-F238E27FC236}">
              <a16:creationId xmlns:a16="http://schemas.microsoft.com/office/drawing/2014/main" id="{BA9F541C-7804-7DFA-C7A7-244FED17E4B5}"/>
            </a:ext>
          </a:extLst>
        </xdr:cNvPr>
        <xdr:cNvCxnSpPr/>
      </xdr:nvCxnSpPr>
      <xdr:spPr>
        <a:xfrm>
          <a:off x="4099690" y="2357964"/>
          <a:ext cx="12169010" cy="0"/>
        </a:xfrm>
        <a:prstGeom prst="line">
          <a:avLst/>
        </a:prstGeom>
        <a:ln w="76200">
          <a:solidFill>
            <a:schemeClr val="accent1">
              <a:lumMod val="50000"/>
            </a:schemeClr>
          </a:solidFill>
        </a:ln>
        <a:scene3d>
          <a:camera prst="orthographicFront"/>
          <a:lightRig rig="threePt" dir="t"/>
        </a:scene3d>
        <a:sp3d>
          <a:bevelT w="139700" h="139700" prst="divot"/>
        </a:sp3d>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25400</xdr:colOff>
      <xdr:row>9</xdr:row>
      <xdr:rowOff>67732</xdr:rowOff>
    </xdr:from>
    <xdr:to>
      <xdr:col>23</xdr:col>
      <xdr:colOff>25400</xdr:colOff>
      <xdr:row>9</xdr:row>
      <xdr:rowOff>67732</xdr:rowOff>
    </xdr:to>
    <xdr:cxnSp macro="">
      <xdr:nvCxnSpPr>
        <xdr:cNvPr id="27" name="Straight Connector 26">
          <a:extLst>
            <a:ext uri="{FF2B5EF4-FFF2-40B4-BE49-F238E27FC236}">
              <a16:creationId xmlns:a16="http://schemas.microsoft.com/office/drawing/2014/main" id="{DC7C4E99-8C57-4474-A2D2-01DED6F95386}"/>
            </a:ext>
          </a:extLst>
        </xdr:cNvPr>
        <xdr:cNvCxnSpPr/>
      </xdr:nvCxnSpPr>
      <xdr:spPr>
        <a:xfrm>
          <a:off x="4178300" y="1667932"/>
          <a:ext cx="12115800" cy="0"/>
        </a:xfrm>
        <a:prstGeom prst="line">
          <a:avLst/>
        </a:prstGeom>
        <a:ln w="76200">
          <a:solidFill>
            <a:schemeClr val="accent1">
              <a:lumMod val="50000"/>
            </a:schemeClr>
          </a:solidFill>
        </a:ln>
        <a:scene3d>
          <a:camera prst="orthographicFront"/>
          <a:lightRig rig="threePt" dir="t"/>
        </a:scene3d>
        <a:sp3d>
          <a:bevelT w="139700" h="139700" prst="divot"/>
        </a:sp3d>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0</xdr:colOff>
      <xdr:row>13</xdr:row>
      <xdr:rowOff>114300</xdr:rowOff>
    </xdr:from>
    <xdr:to>
      <xdr:col>23</xdr:col>
      <xdr:colOff>0</xdr:colOff>
      <xdr:row>17</xdr:row>
      <xdr:rowOff>63502</xdr:rowOff>
    </xdr:to>
    <xdr:sp macro="" textlink="">
      <xdr:nvSpPr>
        <xdr:cNvPr id="29" name="Rectangle: Rounded Corners 28">
          <a:extLst>
            <a:ext uri="{FF2B5EF4-FFF2-40B4-BE49-F238E27FC236}">
              <a16:creationId xmlns:a16="http://schemas.microsoft.com/office/drawing/2014/main" id="{FEA597CB-E9EC-27EB-F424-8F89ADBF2A7D}"/>
            </a:ext>
            <a:ext uri="{147F2762-F138-4A5C-976F-8EAC2B608ADB}">
              <a16:predDERef xmlns:a16="http://schemas.microsoft.com/office/drawing/2014/main" pred="{DC7C4E99-8C57-4474-A2D2-01DED6F95386}"/>
            </a:ext>
          </a:extLst>
        </xdr:cNvPr>
        <xdr:cNvSpPr/>
      </xdr:nvSpPr>
      <xdr:spPr>
        <a:xfrm>
          <a:off x="4133850" y="2343150"/>
          <a:ext cx="12001500" cy="635002"/>
        </a:xfrm>
        <a:prstGeom prst="roundRect">
          <a:avLst>
            <a:gd name="adj" fmla="val 757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lvl="1" algn="l"/>
          <a:endParaRPr lang="ar-EG" sz="1100">
            <a:solidFill>
              <a:schemeClr val="bg2">
                <a:lumMod val="50000"/>
              </a:schemeClr>
            </a:solidFill>
          </a:endParaRPr>
        </a:p>
      </xdr:txBody>
    </xdr:sp>
    <xdr:clientData/>
  </xdr:twoCellAnchor>
  <xdr:twoCellAnchor>
    <xdr:from>
      <xdr:col>5</xdr:col>
      <xdr:colOff>0</xdr:colOff>
      <xdr:row>17</xdr:row>
      <xdr:rowOff>31748</xdr:rowOff>
    </xdr:from>
    <xdr:to>
      <xdr:col>23</xdr:col>
      <xdr:colOff>53210</xdr:colOff>
      <xdr:row>17</xdr:row>
      <xdr:rowOff>31748</xdr:rowOff>
    </xdr:to>
    <xdr:cxnSp macro="">
      <xdr:nvCxnSpPr>
        <xdr:cNvPr id="30" name="Straight Connector 29">
          <a:extLst>
            <a:ext uri="{FF2B5EF4-FFF2-40B4-BE49-F238E27FC236}">
              <a16:creationId xmlns:a16="http://schemas.microsoft.com/office/drawing/2014/main" id="{15E85234-C0CC-3C56-1601-587055F86469}"/>
            </a:ext>
          </a:extLst>
        </xdr:cNvPr>
        <xdr:cNvCxnSpPr/>
      </xdr:nvCxnSpPr>
      <xdr:spPr>
        <a:xfrm>
          <a:off x="4152900" y="3054348"/>
          <a:ext cx="12169010" cy="0"/>
        </a:xfrm>
        <a:prstGeom prst="line">
          <a:avLst/>
        </a:prstGeom>
        <a:ln w="76200">
          <a:solidFill>
            <a:schemeClr val="accent1">
              <a:lumMod val="50000"/>
            </a:schemeClr>
          </a:solidFill>
        </a:ln>
        <a:scene3d>
          <a:camera prst="orthographicFront"/>
          <a:lightRig rig="threePt" dir="t"/>
        </a:scene3d>
        <a:sp3d>
          <a:bevelT w="139700" h="139700" prst="divot"/>
        </a:sp3d>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0</xdr:colOff>
      <xdr:row>17</xdr:row>
      <xdr:rowOff>50798</xdr:rowOff>
    </xdr:from>
    <xdr:to>
      <xdr:col>23</xdr:col>
      <xdr:colOff>0</xdr:colOff>
      <xdr:row>22</xdr:row>
      <xdr:rowOff>25400</xdr:rowOff>
    </xdr:to>
    <xdr:sp macro="" textlink="">
      <xdr:nvSpPr>
        <xdr:cNvPr id="31" name="Rectangle: Rounded Corners 30">
          <a:extLst>
            <a:ext uri="{FF2B5EF4-FFF2-40B4-BE49-F238E27FC236}">
              <a16:creationId xmlns:a16="http://schemas.microsoft.com/office/drawing/2014/main" id="{119FC947-7B33-7322-BF21-1A952BA9EE6A}"/>
            </a:ext>
          </a:extLst>
        </xdr:cNvPr>
        <xdr:cNvSpPr/>
      </xdr:nvSpPr>
      <xdr:spPr>
        <a:xfrm>
          <a:off x="4152900" y="3073398"/>
          <a:ext cx="12115800" cy="863602"/>
        </a:xfrm>
        <a:prstGeom prst="roundRect">
          <a:avLst>
            <a:gd name="adj" fmla="val 757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lvl="1" algn="l"/>
          <a:endParaRPr lang="ar-EG" sz="1100">
            <a:solidFill>
              <a:schemeClr val="bg2">
                <a:lumMod val="50000"/>
              </a:schemeClr>
            </a:solidFill>
          </a:endParaRPr>
        </a:p>
      </xdr:txBody>
    </xdr:sp>
    <xdr:clientData/>
  </xdr:twoCellAnchor>
  <xdr:twoCellAnchor>
    <xdr:from>
      <xdr:col>5</xdr:col>
      <xdr:colOff>0</xdr:colOff>
      <xdr:row>22</xdr:row>
      <xdr:rowOff>25400</xdr:rowOff>
    </xdr:from>
    <xdr:to>
      <xdr:col>23</xdr:col>
      <xdr:colOff>53210</xdr:colOff>
      <xdr:row>22</xdr:row>
      <xdr:rowOff>25400</xdr:rowOff>
    </xdr:to>
    <xdr:cxnSp macro="">
      <xdr:nvCxnSpPr>
        <xdr:cNvPr id="32" name="Straight Connector 31">
          <a:extLst>
            <a:ext uri="{FF2B5EF4-FFF2-40B4-BE49-F238E27FC236}">
              <a16:creationId xmlns:a16="http://schemas.microsoft.com/office/drawing/2014/main" id="{1E361CB9-70B4-F49B-B677-D3F374FBA81A}"/>
            </a:ext>
          </a:extLst>
        </xdr:cNvPr>
        <xdr:cNvCxnSpPr/>
      </xdr:nvCxnSpPr>
      <xdr:spPr>
        <a:xfrm>
          <a:off x="4152900" y="3937000"/>
          <a:ext cx="12169010" cy="0"/>
        </a:xfrm>
        <a:prstGeom prst="line">
          <a:avLst/>
        </a:prstGeom>
        <a:ln w="76200">
          <a:solidFill>
            <a:schemeClr val="accent1">
              <a:lumMod val="50000"/>
            </a:schemeClr>
          </a:solidFill>
        </a:ln>
        <a:scene3d>
          <a:camera prst="orthographicFront"/>
          <a:lightRig rig="threePt" dir="t"/>
        </a:scene3d>
        <a:sp3d>
          <a:bevelT w="139700" h="139700" prst="divot"/>
        </a:sp3d>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19</xdr:col>
      <xdr:colOff>152400</xdr:colOff>
      <xdr:row>6</xdr:row>
      <xdr:rowOff>0</xdr:rowOff>
    </xdr:from>
    <xdr:to>
      <xdr:col>20</xdr:col>
      <xdr:colOff>38100</xdr:colOff>
      <xdr:row>9</xdr:row>
      <xdr:rowOff>25400</xdr:rowOff>
    </xdr:to>
    <xdr:pic>
      <xdr:nvPicPr>
        <xdr:cNvPr id="39" name="Graphic 38" descr="Bar graph with downward trend with solid fill">
          <a:extLst>
            <a:ext uri="{FF2B5EF4-FFF2-40B4-BE49-F238E27FC236}">
              <a16:creationId xmlns:a16="http://schemas.microsoft.com/office/drawing/2014/main" id="{21A9BC0F-6131-6FFA-B42F-C9F221344F7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728700" y="1066800"/>
          <a:ext cx="558800" cy="558800"/>
        </a:xfrm>
        <a:prstGeom prst="rect">
          <a:avLst/>
        </a:prstGeom>
      </xdr:spPr>
    </xdr:pic>
    <xdr:clientData/>
  </xdr:twoCellAnchor>
  <xdr:twoCellAnchor editAs="oneCell">
    <xdr:from>
      <xdr:col>14</xdr:col>
      <xdr:colOff>279400</xdr:colOff>
      <xdr:row>5</xdr:row>
      <xdr:rowOff>76200</xdr:rowOff>
    </xdr:from>
    <xdr:to>
      <xdr:col>15</xdr:col>
      <xdr:colOff>241300</xdr:colOff>
      <xdr:row>9</xdr:row>
      <xdr:rowOff>0</xdr:rowOff>
    </xdr:to>
    <xdr:pic>
      <xdr:nvPicPr>
        <xdr:cNvPr id="43" name="Graphic 42" descr="Marker with solid fill">
          <a:extLst>
            <a:ext uri="{FF2B5EF4-FFF2-40B4-BE49-F238E27FC236}">
              <a16:creationId xmlns:a16="http://schemas.microsoft.com/office/drawing/2014/main" id="{6493149B-DEA0-0E68-8BB4-8E86981370E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490200" y="965200"/>
          <a:ext cx="635000" cy="635000"/>
        </a:xfrm>
        <a:prstGeom prst="rect">
          <a:avLst/>
        </a:prstGeom>
      </xdr:spPr>
    </xdr:pic>
    <xdr:clientData/>
  </xdr:twoCellAnchor>
  <xdr:twoCellAnchor editAs="oneCell">
    <xdr:from>
      <xdr:col>10</xdr:col>
      <xdr:colOff>0</xdr:colOff>
      <xdr:row>4</xdr:row>
      <xdr:rowOff>63500</xdr:rowOff>
    </xdr:from>
    <xdr:to>
      <xdr:col>11</xdr:col>
      <xdr:colOff>241300</xdr:colOff>
      <xdr:row>9</xdr:row>
      <xdr:rowOff>88900</xdr:rowOff>
    </xdr:to>
    <xdr:pic>
      <xdr:nvPicPr>
        <xdr:cNvPr id="45" name="Graphic 44" descr="Laptop with solid fill">
          <a:extLst>
            <a:ext uri="{FF2B5EF4-FFF2-40B4-BE49-F238E27FC236}">
              <a16:creationId xmlns:a16="http://schemas.microsoft.com/office/drawing/2014/main" id="{25C03A2E-068A-7954-25F4-3886C9AB70E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518400" y="774700"/>
          <a:ext cx="914400" cy="914400"/>
        </a:xfrm>
        <a:prstGeom prst="rect">
          <a:avLst/>
        </a:prstGeom>
      </xdr:spPr>
    </xdr:pic>
    <xdr:clientData/>
  </xdr:twoCellAnchor>
  <xdr:twoCellAnchor editAs="oneCell">
    <xdr:from>
      <xdr:col>5</xdr:col>
      <xdr:colOff>0</xdr:colOff>
      <xdr:row>5</xdr:row>
      <xdr:rowOff>152224</xdr:rowOff>
    </xdr:from>
    <xdr:to>
      <xdr:col>6</xdr:col>
      <xdr:colOff>0</xdr:colOff>
      <xdr:row>8</xdr:row>
      <xdr:rowOff>114300</xdr:rowOff>
    </xdr:to>
    <xdr:pic>
      <xdr:nvPicPr>
        <xdr:cNvPr id="47" name="Graphic 46" descr="Dollar with solid fill">
          <a:extLst>
            <a:ext uri="{FF2B5EF4-FFF2-40B4-BE49-F238E27FC236}">
              <a16:creationId xmlns:a16="http://schemas.microsoft.com/office/drawing/2014/main" id="{587E1B60-7FC4-1CBD-C18C-70BB7E572E4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52900" y="1041224"/>
          <a:ext cx="673100" cy="495476"/>
        </a:xfrm>
        <a:prstGeom prst="rect">
          <a:avLst/>
        </a:prstGeom>
      </xdr:spPr>
    </xdr:pic>
    <xdr:clientData/>
  </xdr:twoCellAnchor>
  <xdr:oneCellAnchor>
    <xdr:from>
      <xdr:col>5</xdr:col>
      <xdr:colOff>622300</xdr:colOff>
      <xdr:row>5</xdr:row>
      <xdr:rowOff>0</xdr:rowOff>
    </xdr:from>
    <xdr:ext cx="1328312" cy="405432"/>
    <xdr:sp macro="" textlink="">
      <xdr:nvSpPr>
        <xdr:cNvPr id="48" name="TextBox 47">
          <a:extLst>
            <a:ext uri="{FF2B5EF4-FFF2-40B4-BE49-F238E27FC236}">
              <a16:creationId xmlns:a16="http://schemas.microsoft.com/office/drawing/2014/main" id="{DFFFE3EC-2F4A-D164-2D5D-2BEFA89A7B85}"/>
            </a:ext>
          </a:extLst>
        </xdr:cNvPr>
        <xdr:cNvSpPr txBox="1"/>
      </xdr:nvSpPr>
      <xdr:spPr>
        <a:xfrm>
          <a:off x="4775200" y="889000"/>
          <a:ext cx="132831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r>
            <a:rPr lang="en-US" sz="2000" b="1"/>
            <a:t>Total</a:t>
          </a:r>
          <a:r>
            <a:rPr lang="en-US" sz="2000" b="1" baseline="0"/>
            <a:t> Sales</a:t>
          </a:r>
          <a:endParaRPr lang="ar-EG" sz="2000" b="1"/>
        </a:p>
      </xdr:txBody>
    </xdr:sp>
    <xdr:clientData/>
  </xdr:oneCellAnchor>
  <xdr:oneCellAnchor>
    <xdr:from>
      <xdr:col>11</xdr:col>
      <xdr:colOff>346728</xdr:colOff>
      <xdr:row>4</xdr:row>
      <xdr:rowOff>166068</xdr:rowOff>
    </xdr:from>
    <xdr:ext cx="1482072" cy="405432"/>
    <xdr:sp macro="" textlink="">
      <xdr:nvSpPr>
        <xdr:cNvPr id="49" name="TextBox 48">
          <a:extLst>
            <a:ext uri="{FF2B5EF4-FFF2-40B4-BE49-F238E27FC236}">
              <a16:creationId xmlns:a16="http://schemas.microsoft.com/office/drawing/2014/main" id="{59E8339C-CE9D-403B-BA0D-2928FFEB4AE4}"/>
            </a:ext>
          </a:extLst>
        </xdr:cNvPr>
        <xdr:cNvSpPr txBox="1"/>
      </xdr:nvSpPr>
      <xdr:spPr>
        <a:xfrm>
          <a:off x="8538228" y="877268"/>
          <a:ext cx="148207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r>
            <a:rPr lang="en-US" sz="2000" b="1"/>
            <a:t>Top Product</a:t>
          </a:r>
          <a:endParaRPr lang="ar-EG" sz="2000" b="1"/>
        </a:p>
      </xdr:txBody>
    </xdr:sp>
    <xdr:clientData/>
  </xdr:oneCellAnchor>
  <xdr:oneCellAnchor>
    <xdr:from>
      <xdr:col>15</xdr:col>
      <xdr:colOff>241300</xdr:colOff>
      <xdr:row>4</xdr:row>
      <xdr:rowOff>127968</xdr:rowOff>
    </xdr:from>
    <xdr:ext cx="1378583" cy="405432"/>
    <xdr:sp macro="" textlink="">
      <xdr:nvSpPr>
        <xdr:cNvPr id="50" name="TextBox 49">
          <a:extLst>
            <a:ext uri="{FF2B5EF4-FFF2-40B4-BE49-F238E27FC236}">
              <a16:creationId xmlns:a16="http://schemas.microsoft.com/office/drawing/2014/main" id="{B28137DC-104A-4405-B322-37ED9B61E869}"/>
            </a:ext>
          </a:extLst>
        </xdr:cNvPr>
        <xdr:cNvSpPr txBox="1"/>
      </xdr:nvSpPr>
      <xdr:spPr>
        <a:xfrm>
          <a:off x="11125200" y="839168"/>
          <a:ext cx="13785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r>
            <a:rPr lang="en-US" sz="2000" b="1"/>
            <a:t>Top Region</a:t>
          </a:r>
          <a:endParaRPr lang="ar-EG" sz="2000" b="1"/>
        </a:p>
      </xdr:txBody>
    </xdr:sp>
    <xdr:clientData/>
  </xdr:oneCellAnchor>
  <xdr:oneCellAnchor>
    <xdr:from>
      <xdr:col>20</xdr:col>
      <xdr:colOff>21317</xdr:colOff>
      <xdr:row>4</xdr:row>
      <xdr:rowOff>127968</xdr:rowOff>
    </xdr:from>
    <xdr:ext cx="1997983" cy="405432"/>
    <xdr:sp macro="" textlink="">
      <xdr:nvSpPr>
        <xdr:cNvPr id="51" name="TextBox 50">
          <a:extLst>
            <a:ext uri="{FF2B5EF4-FFF2-40B4-BE49-F238E27FC236}">
              <a16:creationId xmlns:a16="http://schemas.microsoft.com/office/drawing/2014/main" id="{2B61D2AF-A119-427E-84FF-86E63737C83B}"/>
            </a:ext>
          </a:extLst>
        </xdr:cNvPr>
        <xdr:cNvSpPr txBox="1"/>
      </xdr:nvSpPr>
      <xdr:spPr>
        <a:xfrm>
          <a:off x="14270717" y="839168"/>
          <a:ext cx="19979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r>
            <a:rPr lang="en-US" sz="2000" b="1"/>
            <a:t>Avg. Order Value</a:t>
          </a:r>
        </a:p>
      </xdr:txBody>
    </xdr:sp>
    <xdr:clientData/>
  </xdr:oneCellAnchor>
  <xdr:oneCellAnchor>
    <xdr:from>
      <xdr:col>6</xdr:col>
      <xdr:colOff>0</xdr:colOff>
      <xdr:row>6</xdr:row>
      <xdr:rowOff>127000</xdr:rowOff>
    </xdr:from>
    <xdr:ext cx="1111907" cy="387286"/>
    <xdr:sp macro="" textlink="'Monthly Sales'!C11">
      <xdr:nvSpPr>
        <xdr:cNvPr id="52" name="TextBox 51">
          <a:extLst>
            <a:ext uri="{FF2B5EF4-FFF2-40B4-BE49-F238E27FC236}">
              <a16:creationId xmlns:a16="http://schemas.microsoft.com/office/drawing/2014/main" id="{A6549A7C-8B2A-4C07-B222-9268B6EFDB69}"/>
            </a:ext>
          </a:extLst>
        </xdr:cNvPr>
        <xdr:cNvSpPr txBox="1"/>
      </xdr:nvSpPr>
      <xdr:spPr>
        <a:xfrm>
          <a:off x="4826000" y="1193800"/>
          <a:ext cx="1111907"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B4B86264-BB95-4A25-B489-81C35BED83E7}" type="TxLink">
            <a:rPr lang="en-US" sz="2000" b="1" i="0" u="none" strike="noStrike">
              <a:solidFill>
                <a:schemeClr val="accent1">
                  <a:lumMod val="50000"/>
                </a:schemeClr>
              </a:solidFill>
              <a:latin typeface="Arial"/>
              <a:cs typeface="Arial"/>
            </a:rPr>
            <a:pPr/>
            <a:t>35257.5</a:t>
          </a:fld>
          <a:endParaRPr lang="ar-EG" sz="4000" b="1">
            <a:solidFill>
              <a:schemeClr val="accent1">
                <a:lumMod val="50000"/>
              </a:schemeClr>
            </a:solidFill>
          </a:endParaRPr>
        </a:p>
      </xdr:txBody>
    </xdr:sp>
    <xdr:clientData/>
  </xdr:oneCellAnchor>
  <xdr:oneCellAnchor>
    <xdr:from>
      <xdr:col>11</xdr:col>
      <xdr:colOff>380302</xdr:colOff>
      <xdr:row>6</xdr:row>
      <xdr:rowOff>127000</xdr:rowOff>
    </xdr:from>
    <xdr:ext cx="1181798" cy="387286"/>
    <xdr:sp macro="" textlink="Product_Sales!A4">
      <xdr:nvSpPr>
        <xdr:cNvPr id="53" name="TextBox 52">
          <a:extLst>
            <a:ext uri="{FF2B5EF4-FFF2-40B4-BE49-F238E27FC236}">
              <a16:creationId xmlns:a16="http://schemas.microsoft.com/office/drawing/2014/main" id="{AF4C2FE0-D0C4-4C3D-9E85-B8B4A894219A}"/>
            </a:ext>
          </a:extLst>
        </xdr:cNvPr>
        <xdr:cNvSpPr txBox="1"/>
      </xdr:nvSpPr>
      <xdr:spPr>
        <a:xfrm>
          <a:off x="8571802" y="1193800"/>
          <a:ext cx="1181798"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marL="0" indent="0"/>
          <a:fld id="{BCBA18AF-E4BB-4DE0-9180-724A1E67A66A}" type="TxLink">
            <a:rPr lang="en-US" sz="2000" b="1" i="0" u="none" strike="noStrike">
              <a:solidFill>
                <a:schemeClr val="accent1">
                  <a:lumMod val="50000"/>
                </a:schemeClr>
              </a:solidFill>
              <a:latin typeface="Arial"/>
              <a:ea typeface="+mn-ea"/>
              <a:cs typeface="Arial"/>
            </a:rPr>
            <a:pPr marL="0" indent="0"/>
            <a:t> Laptop </a:t>
          </a:fld>
          <a:endParaRPr lang="ar-EG" sz="2000" b="1" i="0" u="none" strike="noStrike">
            <a:solidFill>
              <a:schemeClr val="accent1">
                <a:lumMod val="50000"/>
              </a:schemeClr>
            </a:solidFill>
            <a:latin typeface="Arial"/>
            <a:ea typeface="+mn-ea"/>
            <a:cs typeface="Arial"/>
          </a:endParaRPr>
        </a:p>
      </xdr:txBody>
    </xdr:sp>
    <xdr:clientData/>
  </xdr:oneCellAnchor>
  <xdr:oneCellAnchor>
    <xdr:from>
      <xdr:col>20</xdr:col>
      <xdr:colOff>615293</xdr:colOff>
      <xdr:row>6</xdr:row>
      <xdr:rowOff>127000</xdr:rowOff>
    </xdr:from>
    <xdr:ext cx="1111907" cy="387286"/>
    <xdr:sp macro="" textlink="order!D8">
      <xdr:nvSpPr>
        <xdr:cNvPr id="54" name="TextBox 53">
          <a:extLst>
            <a:ext uri="{FF2B5EF4-FFF2-40B4-BE49-F238E27FC236}">
              <a16:creationId xmlns:a16="http://schemas.microsoft.com/office/drawing/2014/main" id="{C48CE9AF-F6E8-4FF0-B773-37A61200F550}"/>
            </a:ext>
          </a:extLst>
        </xdr:cNvPr>
        <xdr:cNvSpPr txBox="1"/>
      </xdr:nvSpPr>
      <xdr:spPr>
        <a:xfrm>
          <a:off x="14864693" y="1193800"/>
          <a:ext cx="1111907"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marL="0" indent="0"/>
          <a:fld id="{FD10DD51-CBDE-46FF-ADE3-FEBD4A025EA4}" type="TxLink">
            <a:rPr lang="en-US" sz="2000" b="1" i="0" u="none" strike="noStrike">
              <a:solidFill>
                <a:schemeClr val="accent1">
                  <a:lumMod val="50000"/>
                </a:schemeClr>
              </a:solidFill>
              <a:latin typeface="Arial"/>
              <a:ea typeface="+mn-ea"/>
              <a:cs typeface="Arial"/>
            </a:rPr>
            <a:pPr marL="0" indent="0"/>
            <a:t>$352.58</a:t>
          </a:fld>
          <a:endParaRPr lang="ar-EG" sz="2000" b="1" i="0" u="none" strike="noStrike">
            <a:solidFill>
              <a:schemeClr val="accent1">
                <a:lumMod val="50000"/>
              </a:schemeClr>
            </a:solidFill>
            <a:latin typeface="Arial"/>
            <a:ea typeface="+mn-ea"/>
            <a:cs typeface="Arial"/>
          </a:endParaRPr>
        </a:p>
      </xdr:txBody>
    </xdr:sp>
    <xdr:clientData/>
  </xdr:oneCellAnchor>
  <xdr:oneCellAnchor>
    <xdr:from>
      <xdr:col>15</xdr:col>
      <xdr:colOff>335282</xdr:colOff>
      <xdr:row>6</xdr:row>
      <xdr:rowOff>127000</xdr:rowOff>
    </xdr:from>
    <xdr:ext cx="1010918" cy="387286"/>
    <xdr:sp macro="" textlink="'Region Sales'!A4">
      <xdr:nvSpPr>
        <xdr:cNvPr id="55" name="TextBox 54">
          <a:extLst>
            <a:ext uri="{FF2B5EF4-FFF2-40B4-BE49-F238E27FC236}">
              <a16:creationId xmlns:a16="http://schemas.microsoft.com/office/drawing/2014/main" id="{F3EBE8E1-F9CE-41BF-A37A-664C28A13BDB}"/>
            </a:ext>
          </a:extLst>
        </xdr:cNvPr>
        <xdr:cNvSpPr txBox="1"/>
      </xdr:nvSpPr>
      <xdr:spPr>
        <a:xfrm>
          <a:off x="11219182" y="1193800"/>
          <a:ext cx="1010918"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marL="0" indent="0"/>
          <a:fld id="{319B1CDD-BFE0-4C29-B7DA-5DC2631BA9A2}" type="TxLink">
            <a:rPr lang="en-US" sz="2000" b="1" i="0" u="none" strike="noStrike">
              <a:solidFill>
                <a:schemeClr val="accent1">
                  <a:lumMod val="50000"/>
                </a:schemeClr>
              </a:solidFill>
              <a:latin typeface="Arial"/>
              <a:ea typeface="+mn-ea"/>
              <a:cs typeface="Arial"/>
            </a:rPr>
            <a:pPr marL="0" indent="0"/>
            <a:t> North </a:t>
          </a:fld>
          <a:endParaRPr lang="ar-EG" sz="2000" b="1" i="0" u="none" strike="noStrike">
            <a:solidFill>
              <a:schemeClr val="accent1">
                <a:lumMod val="50000"/>
              </a:schemeClr>
            </a:solidFill>
            <a:latin typeface="Arial"/>
            <a:ea typeface="+mn-ea"/>
            <a:cs typeface="Arial"/>
          </a:endParaRPr>
        </a:p>
      </xdr:txBody>
    </xdr:sp>
    <xdr:clientData/>
  </xdr:oneCellAnchor>
  <xdr:oneCellAnchor>
    <xdr:from>
      <xdr:col>5</xdr:col>
      <xdr:colOff>368300</xdr:colOff>
      <xdr:row>10</xdr:row>
      <xdr:rowOff>63500</xdr:rowOff>
    </xdr:from>
    <xdr:ext cx="1346200" cy="415724"/>
    <xdr:sp macro="" textlink="">
      <xdr:nvSpPr>
        <xdr:cNvPr id="56" name="TextBox 55">
          <a:extLst>
            <a:ext uri="{FF2B5EF4-FFF2-40B4-BE49-F238E27FC236}">
              <a16:creationId xmlns:a16="http://schemas.microsoft.com/office/drawing/2014/main" id="{C2559386-B4B1-4DBD-844F-658DF4EF6E91}"/>
            </a:ext>
          </a:extLst>
        </xdr:cNvPr>
        <xdr:cNvSpPr txBox="1"/>
      </xdr:nvSpPr>
      <xdr:spPr>
        <a:xfrm>
          <a:off x="4521200" y="1841500"/>
          <a:ext cx="1346200" cy="4157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r>
            <a:rPr lang="en-US" sz="2000" b="1"/>
            <a:t>Month</a:t>
          </a:r>
          <a:endParaRPr lang="ar-EG" sz="2000" b="1"/>
        </a:p>
      </xdr:txBody>
    </xdr:sp>
    <xdr:clientData/>
  </xdr:oneCellAnchor>
  <xdr:oneCellAnchor>
    <xdr:from>
      <xdr:col>5</xdr:col>
      <xdr:colOff>368300</xdr:colOff>
      <xdr:row>14</xdr:row>
      <xdr:rowOff>50800</xdr:rowOff>
    </xdr:from>
    <xdr:ext cx="1328312" cy="372478"/>
    <xdr:sp macro="" textlink="">
      <xdr:nvSpPr>
        <xdr:cNvPr id="57" name="TextBox 56">
          <a:extLst>
            <a:ext uri="{FF2B5EF4-FFF2-40B4-BE49-F238E27FC236}">
              <a16:creationId xmlns:a16="http://schemas.microsoft.com/office/drawing/2014/main" id="{E59FBEED-343C-4223-9842-6E7DA14F9C6A}"/>
            </a:ext>
          </a:extLst>
        </xdr:cNvPr>
        <xdr:cNvSpPr txBox="1"/>
      </xdr:nvSpPr>
      <xdr:spPr>
        <a:xfrm>
          <a:off x="4521200" y="2540000"/>
          <a:ext cx="1328312" cy="3724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r>
            <a:rPr lang="en-US" sz="2000" b="1"/>
            <a:t>Region</a:t>
          </a:r>
          <a:endParaRPr lang="ar-EG" sz="2000" b="1"/>
        </a:p>
      </xdr:txBody>
    </xdr:sp>
    <xdr:clientData/>
  </xdr:oneCellAnchor>
  <xdr:oneCellAnchor>
    <xdr:from>
      <xdr:col>5</xdr:col>
      <xdr:colOff>368300</xdr:colOff>
      <xdr:row>18</xdr:row>
      <xdr:rowOff>101600</xdr:rowOff>
    </xdr:from>
    <xdr:ext cx="1328312" cy="431800"/>
    <xdr:sp macro="" textlink="">
      <xdr:nvSpPr>
        <xdr:cNvPr id="58" name="TextBox 57">
          <a:extLst>
            <a:ext uri="{FF2B5EF4-FFF2-40B4-BE49-F238E27FC236}">
              <a16:creationId xmlns:a16="http://schemas.microsoft.com/office/drawing/2014/main" id="{4EA48925-124B-4006-8B6B-52AA06E2AF9B}"/>
            </a:ext>
          </a:extLst>
        </xdr:cNvPr>
        <xdr:cNvSpPr txBox="1"/>
      </xdr:nvSpPr>
      <xdr:spPr>
        <a:xfrm>
          <a:off x="4521200" y="3302000"/>
          <a:ext cx="1328312"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r>
            <a:rPr lang="en-US" sz="2000" b="1"/>
            <a:t>Category</a:t>
          </a:r>
          <a:endParaRPr lang="ar-EG" sz="2000" b="1"/>
        </a:p>
      </xdr:txBody>
    </xdr:sp>
    <xdr:clientData/>
  </xdr:oneCellAnchor>
  <xdr:twoCellAnchor>
    <xdr:from>
      <xdr:col>5</xdr:col>
      <xdr:colOff>12700</xdr:colOff>
      <xdr:row>22</xdr:row>
      <xdr:rowOff>101198</xdr:rowOff>
    </xdr:from>
    <xdr:to>
      <xdr:col>22</xdr:col>
      <xdr:colOff>642620</xdr:colOff>
      <xdr:row>35</xdr:row>
      <xdr:rowOff>0</xdr:rowOff>
    </xdr:to>
    <xdr:graphicFrame macro="">
      <xdr:nvGraphicFramePr>
        <xdr:cNvPr id="60" name="Chart 59">
          <a:extLst>
            <a:ext uri="{FF2B5EF4-FFF2-40B4-BE49-F238E27FC236}">
              <a16:creationId xmlns:a16="http://schemas.microsoft.com/office/drawing/2014/main" id="{471CD7C4-7717-4211-9FD5-A415CEB0DEB0}"/>
            </a:ext>
            <a:ext uri="{147F2762-F138-4A5C-976F-8EAC2B608ADB}">
              <a16:predDERef xmlns:a16="http://schemas.microsoft.com/office/drawing/2014/main" pred="{FD5F2D3C-CC0D-40AE-B8E1-6F9A4080E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38100</xdr:colOff>
      <xdr:row>36</xdr:row>
      <xdr:rowOff>0</xdr:rowOff>
    </xdr:from>
    <xdr:to>
      <xdr:col>16</xdr:col>
      <xdr:colOff>419100</xdr:colOff>
      <xdr:row>52</xdr:row>
      <xdr:rowOff>76200</xdr:rowOff>
    </xdr:to>
    <xdr:graphicFrame macro="">
      <xdr:nvGraphicFramePr>
        <xdr:cNvPr id="61" name="Chart 60">
          <a:extLst>
            <a:ext uri="{FF2B5EF4-FFF2-40B4-BE49-F238E27FC236}">
              <a16:creationId xmlns:a16="http://schemas.microsoft.com/office/drawing/2014/main" id="{9C21A847-36F6-4755-8124-F126519CBA6D}"/>
            </a:ext>
            <a:ext uri="{147F2762-F138-4A5C-976F-8EAC2B608ADB}">
              <a16:predDERef xmlns:a16="http://schemas.microsoft.com/office/drawing/2014/main" pred="{471CD7C4-7717-4211-9FD5-A415CEB0D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552450</xdr:colOff>
      <xdr:row>36</xdr:row>
      <xdr:rowOff>0</xdr:rowOff>
    </xdr:from>
    <xdr:to>
      <xdr:col>22</xdr:col>
      <xdr:colOff>647700</xdr:colOff>
      <xdr:row>52</xdr:row>
      <xdr:rowOff>47625</xdr:rowOff>
    </xdr:to>
    <xdr:graphicFrame macro="">
      <xdr:nvGraphicFramePr>
        <xdr:cNvPr id="62" name="Chart 61">
          <a:extLst>
            <a:ext uri="{FF2B5EF4-FFF2-40B4-BE49-F238E27FC236}">
              <a16:creationId xmlns:a16="http://schemas.microsoft.com/office/drawing/2014/main" id="{2122789B-4471-42DB-801F-DF8B421075DA}"/>
            </a:ext>
            <a:ext uri="{147F2762-F138-4A5C-976F-8EAC2B608ADB}">
              <a16:predDERef xmlns:a16="http://schemas.microsoft.com/office/drawing/2014/main" pred="{9C21A847-36F6-4755-8124-F126519CB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657225</xdr:colOff>
      <xdr:row>36</xdr:row>
      <xdr:rowOff>0</xdr:rowOff>
    </xdr:from>
    <xdr:to>
      <xdr:col>9</xdr:col>
      <xdr:colOff>590550</xdr:colOff>
      <xdr:row>52</xdr:row>
      <xdr:rowOff>114300</xdr:rowOff>
    </xdr:to>
    <xdr:graphicFrame macro="">
      <xdr:nvGraphicFramePr>
        <xdr:cNvPr id="63" name="Chart 62">
          <a:extLst>
            <a:ext uri="{FF2B5EF4-FFF2-40B4-BE49-F238E27FC236}">
              <a16:creationId xmlns:a16="http://schemas.microsoft.com/office/drawing/2014/main" id="{5FFABE93-C14A-4B89-A345-6BE478FABEA4}"/>
            </a:ext>
            <a:ext uri="{147F2762-F138-4A5C-976F-8EAC2B608ADB}">
              <a16:predDERef xmlns:a16="http://schemas.microsoft.com/office/drawing/2014/main" pred="{2122789B-4471-42DB-801F-DF8B42107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8</xdr:col>
      <xdr:colOff>200025</xdr:colOff>
      <xdr:row>17</xdr:row>
      <xdr:rowOff>161925</xdr:rowOff>
    </xdr:from>
    <xdr:to>
      <xdr:col>13</xdr:col>
      <xdr:colOff>342900</xdr:colOff>
      <xdr:row>21</xdr:row>
      <xdr:rowOff>28575</xdr:rowOff>
    </xdr:to>
    <mc:AlternateContent xmlns:mc="http://schemas.openxmlformats.org/markup-compatibility/2006" xmlns:a14="http://schemas.microsoft.com/office/drawing/2010/main">
      <mc:Choice Requires="a14">
        <xdr:graphicFrame macro="">
          <xdr:nvGraphicFramePr>
            <xdr:cNvPr id="64" name=" Category ">
              <a:extLst>
                <a:ext uri="{FF2B5EF4-FFF2-40B4-BE49-F238E27FC236}">
                  <a16:creationId xmlns:a16="http://schemas.microsoft.com/office/drawing/2014/main" id="{28FC34F6-5FA6-4103-9BF2-49AA3BCB8ECF}"/>
                </a:ext>
                <a:ext uri="{147F2762-F138-4A5C-976F-8EAC2B608ADB}">
                  <a16:predDERef xmlns:a16="http://schemas.microsoft.com/office/drawing/2014/main" pred="{5FFABE93-C14A-4B89-A345-6BE478FABEA4}"/>
                </a:ext>
              </a:extLst>
            </xdr:cNvPr>
            <xdr:cNvGraphicFramePr/>
          </xdr:nvGraphicFramePr>
          <xdr:xfrm>
            <a:off x="0" y="0"/>
            <a:ext cx="0" cy="0"/>
          </xdr:xfrm>
          <a:graphic>
            <a:graphicData uri="http://schemas.microsoft.com/office/drawing/2010/slicer">
              <sle:slicer xmlns:sle="http://schemas.microsoft.com/office/drawing/2010/slicer" name=" Category "/>
            </a:graphicData>
          </a:graphic>
        </xdr:graphicFrame>
      </mc:Choice>
      <mc:Fallback xmlns="">
        <xdr:sp macro="" textlink="">
          <xdr:nvSpPr>
            <xdr:cNvPr id="0" name=""/>
            <xdr:cNvSpPr>
              <a:spLocks noTextEdit="1"/>
            </xdr:cNvSpPr>
          </xdr:nvSpPr>
          <xdr:spPr>
            <a:xfrm>
              <a:off x="6603302" y="3213098"/>
              <a:ext cx="3429698" cy="60960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171450</xdr:colOff>
      <xdr:row>9</xdr:row>
      <xdr:rowOff>123825</xdr:rowOff>
    </xdr:from>
    <xdr:to>
      <xdr:col>21</xdr:col>
      <xdr:colOff>190500</xdr:colOff>
      <xdr:row>12</xdr:row>
      <xdr:rowOff>152400</xdr:rowOff>
    </xdr:to>
    <mc:AlternateContent xmlns:mc="http://schemas.openxmlformats.org/markup-compatibility/2006" xmlns:a14="http://schemas.microsoft.com/office/drawing/2010/main">
      <mc:Choice Requires="a14">
        <xdr:graphicFrame macro="">
          <xdr:nvGraphicFramePr>
            <xdr:cNvPr id="65" name="Month">
              <a:extLst>
                <a:ext uri="{FF2B5EF4-FFF2-40B4-BE49-F238E27FC236}">
                  <a16:creationId xmlns:a16="http://schemas.microsoft.com/office/drawing/2014/main" id="{C1F4F98C-5D07-4D46-975D-0F9B8490B8B1}"/>
                </a:ext>
                <a:ext uri="{147F2762-F138-4A5C-976F-8EAC2B608ADB}">
                  <a16:predDERef xmlns:a16="http://schemas.microsoft.com/office/drawing/2014/main" pred="{28FC34F6-5FA6-4103-9BF2-49AA3BCB8EC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225540" y="1727200"/>
              <a:ext cx="8696960" cy="5842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190500</xdr:colOff>
      <xdr:row>14</xdr:row>
      <xdr:rowOff>9525</xdr:rowOff>
    </xdr:from>
    <xdr:to>
      <xdr:col>19</xdr:col>
      <xdr:colOff>0</xdr:colOff>
      <xdr:row>16</xdr:row>
      <xdr:rowOff>161925</xdr:rowOff>
    </xdr:to>
    <mc:AlternateContent xmlns:mc="http://schemas.openxmlformats.org/markup-compatibility/2006" xmlns:a14="http://schemas.microsoft.com/office/drawing/2010/main">
      <mc:Choice Requires="a14">
        <xdr:graphicFrame macro="">
          <xdr:nvGraphicFramePr>
            <xdr:cNvPr id="66" name=" Region ">
              <a:extLst>
                <a:ext uri="{FF2B5EF4-FFF2-40B4-BE49-F238E27FC236}">
                  <a16:creationId xmlns:a16="http://schemas.microsoft.com/office/drawing/2014/main" id="{58CAD366-BAA2-4C05-AA77-0D2CB0921C70}"/>
                </a:ext>
                <a:ext uri="{147F2762-F138-4A5C-976F-8EAC2B608ADB}">
                  <a16:predDERef xmlns:a16="http://schemas.microsoft.com/office/drawing/2014/main" pred="{C1F4F98C-5D07-4D46-975D-0F9B8490B8B1}"/>
                </a:ext>
              </a:extLst>
            </xdr:cNvPr>
            <xdr:cNvGraphicFramePr/>
          </xdr:nvGraphicFramePr>
          <xdr:xfrm>
            <a:off x="0" y="0"/>
            <a:ext cx="0" cy="0"/>
          </xdr:xfrm>
          <a:graphic>
            <a:graphicData uri="http://schemas.microsoft.com/office/drawing/2010/slicer">
              <sle:slicer xmlns:sle="http://schemas.microsoft.com/office/drawing/2010/slicer" name=" Region "/>
            </a:graphicData>
          </a:graphic>
        </xdr:graphicFrame>
      </mc:Choice>
      <mc:Fallback xmlns="">
        <xdr:sp macro="" textlink="">
          <xdr:nvSpPr>
            <xdr:cNvPr id="0" name=""/>
            <xdr:cNvSpPr>
              <a:spLocks noTextEdit="1"/>
            </xdr:cNvSpPr>
          </xdr:nvSpPr>
          <xdr:spPr>
            <a:xfrm>
              <a:off x="6182994" y="2345264"/>
              <a:ext cx="7206617" cy="79672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14</xdr:col>
      <xdr:colOff>582930</xdr:colOff>
      <xdr:row>17</xdr:row>
      <xdr:rowOff>101600</xdr:rowOff>
    </xdr:from>
    <xdr:to>
      <xdr:col>22</xdr:col>
      <xdr:colOff>381000</xdr:colOff>
      <xdr:row>22</xdr:row>
      <xdr:rowOff>0</xdr:rowOff>
    </xdr:to>
    <mc:AlternateContent xmlns:mc="http://schemas.openxmlformats.org/markup-compatibility/2006" xmlns:tsle="http://schemas.microsoft.com/office/drawing/2012/timeslicer">
      <mc:Choice Requires="tsle">
        <xdr:graphicFrame macro="">
          <xdr:nvGraphicFramePr>
            <xdr:cNvPr id="67" name=" Date ">
              <a:extLst>
                <a:ext uri="{FF2B5EF4-FFF2-40B4-BE49-F238E27FC236}">
                  <a16:creationId xmlns:a16="http://schemas.microsoft.com/office/drawing/2014/main" id="{4939961A-E707-4CA7-A6FD-E466E7E5B893}"/>
                </a:ext>
              </a:extLst>
            </xdr:cNvPr>
            <xdr:cNvGraphicFramePr/>
          </xdr:nvGraphicFramePr>
          <xdr:xfrm>
            <a:off x="0" y="0"/>
            <a:ext cx="0" cy="0"/>
          </xdr:xfrm>
          <a:graphic>
            <a:graphicData uri="http://schemas.microsoft.com/office/drawing/2012/timeslicer">
              <tsle:timeslicer name=" Date "/>
            </a:graphicData>
          </a:graphic>
        </xdr:graphicFrame>
      </mc:Choice>
      <mc:Fallback xmlns="">
        <xdr:sp macro="" textlink="">
          <xdr:nvSpPr>
            <xdr:cNvPr id="0" name=""/>
            <xdr:cNvSpPr>
              <a:spLocks noTextEdit="1"/>
            </xdr:cNvSpPr>
          </xdr:nvSpPr>
          <xdr:spPr>
            <a:xfrm>
              <a:off x="10793730" y="3124200"/>
              <a:ext cx="5182870" cy="787400"/>
            </a:xfrm>
            <a:prstGeom prst="rect">
              <a:avLst/>
            </a:prstGeom>
            <a:solidFill>
              <a:prstClr val="white"/>
            </a:solidFill>
            <a:ln w="1">
              <a:solidFill>
                <a:prstClr val="green"/>
              </a:solidFill>
            </a:ln>
          </xdr:spPr>
          <xdr:txBody>
            <a:bodyPr vertOverflow="clip" horzOverflow="clip"/>
            <a:lstStyle/>
            <a:p>
              <a:r>
                <a:rPr lang="ar-EG"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3.8497943287" createdVersion="8" refreshedVersion="8" minRefreshableVersion="3" recordCount="100" xr:uid="{62B15536-BEE0-4E27-88B8-796B838511F4}">
  <cacheSource type="worksheet">
    <worksheetSource name="Table1"/>
  </cacheSource>
  <cacheFields count="11">
    <cacheField name="Order ID " numFmtId="0">
      <sharedItems containsSemiMixedTypes="0" containsString="0" containsNumber="1" containsInteger="1" minValue="1001" maxValue="1100"/>
    </cacheField>
    <cacheField name=" Date " numFmtId="14">
      <sharedItems containsSemiMixedTypes="0" containsNonDate="0" containsDate="1" containsString="0" minDate="2023-05-01T00:00:00" maxDate="2023-11-16T00:00:00" count="100">
        <d v="2023-05-01T00:00:00"/>
        <d v="2023-05-03T00:00:00"/>
        <d v="2023-05-05T00:00:00"/>
        <d v="2023-05-07T00:00:00"/>
        <d v="2023-05-09T00:00:00"/>
        <d v="2023-05-11T00:00:00"/>
        <d v="2023-05-13T00:00:00"/>
        <d v="2023-05-15T00:00:00"/>
        <d v="2023-05-17T00:00:00"/>
        <d v="2023-05-19T00:00:00"/>
        <d v="2023-05-21T00:00:00"/>
        <d v="2023-05-23T00:00:00"/>
        <d v="2023-05-25T00:00:00"/>
        <d v="2023-05-27T00:00:00"/>
        <d v="2023-05-29T00:00:00"/>
        <d v="2023-05-31T00:00:00"/>
        <d v="2023-06-02T00:00:00"/>
        <d v="2023-06-04T00:00:00"/>
        <d v="2023-06-06T00:00:00"/>
        <d v="2023-06-08T00:00:00"/>
        <d v="2023-06-10T00:00:00"/>
        <d v="2023-06-12T00:00:00"/>
        <d v="2023-06-14T00:00:00"/>
        <d v="2023-06-16T00:00:00"/>
        <d v="2023-06-18T00:00:00"/>
        <d v="2023-06-20T00:00:00"/>
        <d v="2023-06-22T00:00:00"/>
        <d v="2023-06-24T00:00:00"/>
        <d v="2023-06-26T00:00:00"/>
        <d v="2023-06-28T00:00:00"/>
        <d v="2023-06-30T00:00:00"/>
        <d v="2023-07-02T00:00:00"/>
        <d v="2023-07-04T00:00:00"/>
        <d v="2023-07-06T00:00:00"/>
        <d v="2023-07-08T00:00:00"/>
        <d v="2023-07-10T00:00:00"/>
        <d v="2023-07-12T00:00:00"/>
        <d v="2023-07-14T00:00:00"/>
        <d v="2023-07-16T00:00:00"/>
        <d v="2023-07-18T00:00:00"/>
        <d v="2023-07-20T00:00:00"/>
        <d v="2023-07-22T00:00:00"/>
        <d v="2023-07-24T00:00:00"/>
        <d v="2023-07-26T00:00:00"/>
        <d v="2023-07-28T00:00:00"/>
        <d v="2023-07-30T00:00:00"/>
        <d v="2023-08-01T00:00:00"/>
        <d v="2023-08-03T00:00:00"/>
        <d v="2023-08-05T00:00:00"/>
        <d v="2023-08-07T00:00:00"/>
        <d v="2023-08-09T00:00:00"/>
        <d v="2023-08-11T00:00:00"/>
        <d v="2023-08-13T00:00:00"/>
        <d v="2023-08-15T00:00:00"/>
        <d v="2023-08-17T00:00:00"/>
        <d v="2023-08-19T00:00:00"/>
        <d v="2023-08-21T00:00:00"/>
        <d v="2023-08-23T00:00:00"/>
        <d v="2023-08-25T00:00:00"/>
        <d v="2023-08-27T00:00:00"/>
        <d v="2023-08-29T00:00:00"/>
        <d v="2023-08-31T00:00:00"/>
        <d v="2023-09-02T00:00:00"/>
        <d v="2023-09-04T00:00:00"/>
        <d v="2023-09-06T00:00:00"/>
        <d v="2023-09-08T00:00:00"/>
        <d v="2023-09-10T00:00:00"/>
        <d v="2023-09-12T00:00:00"/>
        <d v="2023-09-14T00:00:00"/>
        <d v="2023-09-16T00:00:00"/>
        <d v="2023-09-18T00:00:00"/>
        <d v="2023-09-20T00:00:00"/>
        <d v="2023-09-22T00:00:00"/>
        <d v="2023-09-24T00:00:00"/>
        <d v="2023-09-26T00:00:00"/>
        <d v="2023-09-28T00:00:00"/>
        <d v="2023-09-30T00:00:00"/>
        <d v="2023-10-02T00:00:00"/>
        <d v="2023-10-04T00:00:00"/>
        <d v="2023-10-06T00:00:00"/>
        <d v="2023-10-08T00:00:00"/>
        <d v="2023-10-10T00:00:00"/>
        <d v="2023-10-12T00:00:00"/>
        <d v="2023-10-14T00:00:00"/>
        <d v="2023-10-16T00:00:00"/>
        <d v="2023-10-18T00:00:00"/>
        <d v="2023-10-20T00:00:00"/>
        <d v="2023-10-22T00:00:00"/>
        <d v="2023-10-24T00:00:00"/>
        <d v="2023-10-26T00:00:00"/>
        <d v="2023-10-28T00:00:00"/>
        <d v="2023-10-30T00:00:00"/>
        <d v="2023-11-01T00:00:00"/>
        <d v="2023-11-03T00:00:00"/>
        <d v="2023-11-05T00:00:00"/>
        <d v="2023-11-07T00:00:00"/>
        <d v="2023-11-09T00:00:00"/>
        <d v="2023-11-11T00:00:00"/>
        <d v="2023-11-13T00:00:00"/>
        <d v="2023-11-15T00:00:00"/>
      </sharedItems>
    </cacheField>
    <cacheField name=" Product " numFmtId="0">
      <sharedItems count="8">
        <s v=" Laptop "/>
        <s v=" Mouse "/>
        <s v=" Keyboard "/>
        <s v=" Headphones "/>
        <s v=" Monitor "/>
        <s v=" Chair "/>
        <s v=" Desk "/>
        <s v=" Lamp "/>
      </sharedItems>
    </cacheField>
    <cacheField name=" Category " numFmtId="0">
      <sharedItems count="2">
        <s v=" Electronics "/>
        <s v=" Furniture "/>
      </sharedItems>
    </cacheField>
    <cacheField name=" Region " numFmtId="0">
      <sharedItems count="4">
        <s v=" North "/>
        <s v=" South "/>
        <s v=" East "/>
        <s v=" West "/>
      </sharedItems>
    </cacheField>
    <cacheField name=" Quantity " numFmtId="0">
      <sharedItems containsSemiMixedTypes="0" containsString="0" containsNumber="1" containsInteger="1" minValue="1" maxValue="10" count="9">
        <n v="2"/>
        <n v="5"/>
        <n v="3"/>
        <n v="4"/>
        <n v="1"/>
        <n v="10"/>
        <n v="6"/>
        <n v="7"/>
        <n v="8"/>
      </sharedItems>
    </cacheField>
    <cacheField name=" Unit Price " numFmtId="0">
      <sharedItems containsSemiMixedTypes="0" containsString="0" containsNumber="1" containsInteger="1" minValue="20" maxValue="960"/>
    </cacheField>
    <cacheField name=" Discount " numFmtId="10">
      <sharedItems containsSemiMixedTypes="0" containsString="0" containsNumber="1" minValue="0" maxValue="0.15"/>
    </cacheField>
    <cacheField name=" Total Revenue" numFmtId="165">
      <sharedItems containsSemiMixedTypes="0" containsString="0" containsNumber="1" minValue="76" maxValue="1710"/>
    </cacheField>
    <cacheField name="Month" numFmtId="14">
      <sharedItems count="7">
        <s v="May"/>
        <s v="June"/>
        <s v="July"/>
        <s v="August"/>
        <s v="September"/>
        <s v="October"/>
        <s v="November"/>
      </sharedItems>
    </cacheField>
    <cacheField name="Month #" numFmtId="0">
      <sharedItems containsSemiMixedTypes="0" containsString="0" containsNumber="1" containsInteger="1" minValue="5" maxValue="11" count="7">
        <n v="5"/>
        <n v="6"/>
        <n v="7"/>
        <n v="8"/>
        <n v="9"/>
        <n v="10"/>
        <n v="11"/>
      </sharedItems>
    </cacheField>
  </cacheFields>
  <extLst>
    <ext xmlns:x14="http://schemas.microsoft.com/office/spreadsheetml/2009/9/main" uri="{725AE2AE-9491-48be-B2B4-4EB974FC3084}">
      <x14:pivotCacheDefinition pivotCacheId="743843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x v="0"/>
    <x v="0"/>
    <x v="0"/>
    <x v="0"/>
    <x v="0"/>
    <n v="850"/>
    <n v="0.05"/>
    <n v="1615"/>
    <x v="0"/>
    <x v="0"/>
  </r>
  <r>
    <n v="1002"/>
    <x v="1"/>
    <x v="1"/>
    <x v="0"/>
    <x v="1"/>
    <x v="1"/>
    <n v="25"/>
    <n v="0"/>
    <n v="125"/>
    <x v="0"/>
    <x v="0"/>
  </r>
  <r>
    <n v="1003"/>
    <x v="2"/>
    <x v="2"/>
    <x v="0"/>
    <x v="2"/>
    <x v="2"/>
    <n v="45"/>
    <n v="0.1"/>
    <n v="121.5"/>
    <x v="0"/>
    <x v="0"/>
  </r>
  <r>
    <n v="1004"/>
    <x v="3"/>
    <x v="3"/>
    <x v="0"/>
    <x v="3"/>
    <x v="3"/>
    <n v="60"/>
    <n v="0"/>
    <n v="240"/>
    <x v="0"/>
    <x v="0"/>
  </r>
  <r>
    <n v="1005"/>
    <x v="4"/>
    <x v="4"/>
    <x v="0"/>
    <x v="0"/>
    <x v="4"/>
    <n v="200"/>
    <n v="0.15"/>
    <n v="170"/>
    <x v="0"/>
    <x v="0"/>
  </r>
  <r>
    <n v="1006"/>
    <x v="5"/>
    <x v="5"/>
    <x v="1"/>
    <x v="1"/>
    <x v="0"/>
    <n v="120"/>
    <n v="0"/>
    <n v="240"/>
    <x v="0"/>
    <x v="0"/>
  </r>
  <r>
    <n v="1007"/>
    <x v="6"/>
    <x v="6"/>
    <x v="1"/>
    <x v="2"/>
    <x v="4"/>
    <n v="300"/>
    <n v="0.05"/>
    <n v="285"/>
    <x v="0"/>
    <x v="0"/>
  </r>
  <r>
    <n v="1008"/>
    <x v="7"/>
    <x v="7"/>
    <x v="1"/>
    <x v="3"/>
    <x v="2"/>
    <n v="40"/>
    <n v="0"/>
    <n v="120"/>
    <x v="0"/>
    <x v="0"/>
  </r>
  <r>
    <n v="1009"/>
    <x v="8"/>
    <x v="0"/>
    <x v="0"/>
    <x v="0"/>
    <x v="4"/>
    <n v="900"/>
    <n v="0.1"/>
    <n v="810"/>
    <x v="0"/>
    <x v="0"/>
  </r>
  <r>
    <n v="1010"/>
    <x v="9"/>
    <x v="1"/>
    <x v="0"/>
    <x v="1"/>
    <x v="5"/>
    <n v="20"/>
    <n v="0"/>
    <n v="200"/>
    <x v="0"/>
    <x v="0"/>
  </r>
  <r>
    <n v="1011"/>
    <x v="10"/>
    <x v="2"/>
    <x v="0"/>
    <x v="2"/>
    <x v="0"/>
    <n v="50"/>
    <n v="0.05"/>
    <n v="95"/>
    <x v="0"/>
    <x v="0"/>
  </r>
  <r>
    <n v="1012"/>
    <x v="11"/>
    <x v="3"/>
    <x v="0"/>
    <x v="3"/>
    <x v="2"/>
    <n v="70"/>
    <n v="0"/>
    <n v="210"/>
    <x v="0"/>
    <x v="0"/>
  </r>
  <r>
    <n v="1013"/>
    <x v="12"/>
    <x v="4"/>
    <x v="0"/>
    <x v="0"/>
    <x v="0"/>
    <n v="210"/>
    <n v="0.1"/>
    <n v="378"/>
    <x v="0"/>
    <x v="0"/>
  </r>
  <r>
    <n v="1014"/>
    <x v="13"/>
    <x v="5"/>
    <x v="1"/>
    <x v="1"/>
    <x v="4"/>
    <n v="130"/>
    <n v="0"/>
    <n v="130"/>
    <x v="0"/>
    <x v="0"/>
  </r>
  <r>
    <n v="1015"/>
    <x v="14"/>
    <x v="6"/>
    <x v="1"/>
    <x v="2"/>
    <x v="0"/>
    <n v="320"/>
    <n v="0.05"/>
    <n v="608"/>
    <x v="0"/>
    <x v="0"/>
  </r>
  <r>
    <n v="1016"/>
    <x v="15"/>
    <x v="7"/>
    <x v="1"/>
    <x v="3"/>
    <x v="3"/>
    <n v="35"/>
    <n v="0"/>
    <n v="140"/>
    <x v="0"/>
    <x v="0"/>
  </r>
  <r>
    <n v="1017"/>
    <x v="16"/>
    <x v="0"/>
    <x v="0"/>
    <x v="0"/>
    <x v="4"/>
    <n v="880"/>
    <n v="0.05"/>
    <n v="836"/>
    <x v="1"/>
    <x v="1"/>
  </r>
  <r>
    <n v="1018"/>
    <x v="17"/>
    <x v="1"/>
    <x v="0"/>
    <x v="1"/>
    <x v="6"/>
    <n v="22"/>
    <n v="0"/>
    <n v="132"/>
    <x v="1"/>
    <x v="1"/>
  </r>
  <r>
    <n v="1019"/>
    <x v="18"/>
    <x v="2"/>
    <x v="0"/>
    <x v="2"/>
    <x v="2"/>
    <n v="48"/>
    <n v="0.1"/>
    <n v="129.6"/>
    <x v="1"/>
    <x v="1"/>
  </r>
  <r>
    <n v="1020"/>
    <x v="19"/>
    <x v="3"/>
    <x v="0"/>
    <x v="3"/>
    <x v="0"/>
    <n v="65"/>
    <n v="0"/>
    <n v="130"/>
    <x v="1"/>
    <x v="1"/>
  </r>
  <r>
    <n v="1021"/>
    <x v="20"/>
    <x v="4"/>
    <x v="0"/>
    <x v="0"/>
    <x v="4"/>
    <n v="205"/>
    <n v="0.05"/>
    <n v="194.75"/>
    <x v="1"/>
    <x v="1"/>
  </r>
  <r>
    <n v="1022"/>
    <x v="21"/>
    <x v="5"/>
    <x v="1"/>
    <x v="1"/>
    <x v="2"/>
    <n v="125"/>
    <n v="0"/>
    <n v="375"/>
    <x v="1"/>
    <x v="1"/>
  </r>
  <r>
    <n v="1023"/>
    <x v="22"/>
    <x v="6"/>
    <x v="1"/>
    <x v="2"/>
    <x v="4"/>
    <n v="310"/>
    <n v="0.05"/>
    <n v="294.5"/>
    <x v="1"/>
    <x v="1"/>
  </r>
  <r>
    <n v="1024"/>
    <x v="23"/>
    <x v="7"/>
    <x v="1"/>
    <x v="3"/>
    <x v="0"/>
    <n v="38"/>
    <n v="0"/>
    <n v="76"/>
    <x v="1"/>
    <x v="1"/>
  </r>
  <r>
    <n v="1025"/>
    <x v="24"/>
    <x v="0"/>
    <x v="0"/>
    <x v="0"/>
    <x v="0"/>
    <n v="870"/>
    <n v="0.1"/>
    <n v="1566"/>
    <x v="1"/>
    <x v="1"/>
  </r>
  <r>
    <n v="1026"/>
    <x v="25"/>
    <x v="1"/>
    <x v="0"/>
    <x v="1"/>
    <x v="3"/>
    <n v="23"/>
    <n v="0"/>
    <n v="92"/>
    <x v="1"/>
    <x v="1"/>
  </r>
  <r>
    <n v="1027"/>
    <x v="26"/>
    <x v="2"/>
    <x v="0"/>
    <x v="2"/>
    <x v="2"/>
    <n v="47"/>
    <n v="0.1"/>
    <n v="126.9"/>
    <x v="1"/>
    <x v="1"/>
  </r>
  <r>
    <n v="1028"/>
    <x v="27"/>
    <x v="3"/>
    <x v="0"/>
    <x v="3"/>
    <x v="1"/>
    <n v="68"/>
    <n v="0"/>
    <n v="340"/>
    <x v="1"/>
    <x v="1"/>
  </r>
  <r>
    <n v="1029"/>
    <x v="28"/>
    <x v="4"/>
    <x v="0"/>
    <x v="0"/>
    <x v="4"/>
    <n v="215"/>
    <n v="0.15"/>
    <n v="182.75"/>
    <x v="1"/>
    <x v="1"/>
  </r>
  <r>
    <n v="1030"/>
    <x v="29"/>
    <x v="5"/>
    <x v="1"/>
    <x v="1"/>
    <x v="0"/>
    <n v="128"/>
    <n v="0"/>
    <n v="256"/>
    <x v="1"/>
    <x v="1"/>
  </r>
  <r>
    <n v="1031"/>
    <x v="30"/>
    <x v="6"/>
    <x v="1"/>
    <x v="2"/>
    <x v="4"/>
    <n v="315"/>
    <n v="0.05"/>
    <n v="299.25"/>
    <x v="1"/>
    <x v="1"/>
  </r>
  <r>
    <n v="1032"/>
    <x v="31"/>
    <x v="7"/>
    <x v="1"/>
    <x v="3"/>
    <x v="2"/>
    <n v="36"/>
    <n v="0"/>
    <n v="108"/>
    <x v="2"/>
    <x v="2"/>
  </r>
  <r>
    <n v="1033"/>
    <x v="32"/>
    <x v="0"/>
    <x v="0"/>
    <x v="0"/>
    <x v="4"/>
    <n v="890"/>
    <n v="0.05"/>
    <n v="845.5"/>
    <x v="2"/>
    <x v="2"/>
  </r>
  <r>
    <n v="1034"/>
    <x v="33"/>
    <x v="1"/>
    <x v="0"/>
    <x v="1"/>
    <x v="7"/>
    <n v="21"/>
    <n v="0"/>
    <n v="147"/>
    <x v="2"/>
    <x v="2"/>
  </r>
  <r>
    <n v="1035"/>
    <x v="34"/>
    <x v="2"/>
    <x v="0"/>
    <x v="2"/>
    <x v="0"/>
    <n v="49"/>
    <n v="0.1"/>
    <n v="88.2"/>
    <x v="2"/>
    <x v="2"/>
  </r>
  <r>
    <n v="1036"/>
    <x v="35"/>
    <x v="3"/>
    <x v="0"/>
    <x v="3"/>
    <x v="3"/>
    <n v="72"/>
    <n v="0"/>
    <n v="288"/>
    <x v="2"/>
    <x v="2"/>
  </r>
  <r>
    <n v="1037"/>
    <x v="36"/>
    <x v="4"/>
    <x v="0"/>
    <x v="0"/>
    <x v="0"/>
    <n v="220"/>
    <n v="0.1"/>
    <n v="396"/>
    <x v="2"/>
    <x v="2"/>
  </r>
  <r>
    <n v="1038"/>
    <x v="37"/>
    <x v="5"/>
    <x v="1"/>
    <x v="1"/>
    <x v="4"/>
    <n v="135"/>
    <n v="0"/>
    <n v="135"/>
    <x v="2"/>
    <x v="2"/>
  </r>
  <r>
    <n v="1039"/>
    <x v="38"/>
    <x v="6"/>
    <x v="1"/>
    <x v="2"/>
    <x v="0"/>
    <n v="330"/>
    <n v="0.05"/>
    <n v="627"/>
    <x v="2"/>
    <x v="2"/>
  </r>
  <r>
    <n v="1040"/>
    <x v="39"/>
    <x v="7"/>
    <x v="1"/>
    <x v="3"/>
    <x v="3"/>
    <n v="37"/>
    <n v="0"/>
    <n v="148"/>
    <x v="2"/>
    <x v="2"/>
  </r>
  <r>
    <n v="1041"/>
    <x v="40"/>
    <x v="0"/>
    <x v="0"/>
    <x v="0"/>
    <x v="4"/>
    <n v="860"/>
    <n v="0.05"/>
    <n v="817"/>
    <x v="2"/>
    <x v="2"/>
  </r>
  <r>
    <n v="1042"/>
    <x v="41"/>
    <x v="1"/>
    <x v="0"/>
    <x v="1"/>
    <x v="8"/>
    <n v="24"/>
    <n v="0"/>
    <n v="192"/>
    <x v="2"/>
    <x v="2"/>
  </r>
  <r>
    <n v="1043"/>
    <x v="42"/>
    <x v="2"/>
    <x v="0"/>
    <x v="2"/>
    <x v="2"/>
    <n v="46"/>
    <n v="0.1"/>
    <n v="124.2"/>
    <x v="2"/>
    <x v="2"/>
  </r>
  <r>
    <n v="1044"/>
    <x v="43"/>
    <x v="3"/>
    <x v="0"/>
    <x v="3"/>
    <x v="0"/>
    <n v="69"/>
    <n v="0"/>
    <n v="138"/>
    <x v="2"/>
    <x v="2"/>
  </r>
  <r>
    <n v="1045"/>
    <x v="44"/>
    <x v="4"/>
    <x v="0"/>
    <x v="0"/>
    <x v="4"/>
    <n v="225"/>
    <n v="0.15"/>
    <n v="191.25"/>
    <x v="2"/>
    <x v="2"/>
  </r>
  <r>
    <n v="1046"/>
    <x v="45"/>
    <x v="5"/>
    <x v="1"/>
    <x v="1"/>
    <x v="0"/>
    <n v="140"/>
    <n v="0"/>
    <n v="280"/>
    <x v="2"/>
    <x v="2"/>
  </r>
  <r>
    <n v="1047"/>
    <x v="46"/>
    <x v="6"/>
    <x v="1"/>
    <x v="2"/>
    <x v="4"/>
    <n v="340"/>
    <n v="0.05"/>
    <n v="323"/>
    <x v="3"/>
    <x v="3"/>
  </r>
  <r>
    <n v="1048"/>
    <x v="47"/>
    <x v="7"/>
    <x v="1"/>
    <x v="3"/>
    <x v="2"/>
    <n v="39"/>
    <n v="0"/>
    <n v="117"/>
    <x v="3"/>
    <x v="3"/>
  </r>
  <r>
    <n v="1049"/>
    <x v="48"/>
    <x v="0"/>
    <x v="0"/>
    <x v="0"/>
    <x v="0"/>
    <n v="900"/>
    <n v="0.1"/>
    <n v="1620"/>
    <x v="3"/>
    <x v="3"/>
  </r>
  <r>
    <n v="1050"/>
    <x v="49"/>
    <x v="1"/>
    <x v="0"/>
    <x v="1"/>
    <x v="1"/>
    <n v="26"/>
    <n v="0"/>
    <n v="130"/>
    <x v="3"/>
    <x v="3"/>
  </r>
  <r>
    <n v="1051"/>
    <x v="50"/>
    <x v="2"/>
    <x v="0"/>
    <x v="2"/>
    <x v="2"/>
    <n v="45"/>
    <n v="0.1"/>
    <n v="121.5"/>
    <x v="3"/>
    <x v="3"/>
  </r>
  <r>
    <n v="1052"/>
    <x v="51"/>
    <x v="3"/>
    <x v="0"/>
    <x v="3"/>
    <x v="3"/>
    <n v="75"/>
    <n v="0"/>
    <n v="300"/>
    <x v="3"/>
    <x v="3"/>
  </r>
  <r>
    <n v="1053"/>
    <x v="52"/>
    <x v="4"/>
    <x v="0"/>
    <x v="0"/>
    <x v="4"/>
    <n v="230"/>
    <n v="0.05"/>
    <n v="218.5"/>
    <x v="3"/>
    <x v="3"/>
  </r>
  <r>
    <n v="1054"/>
    <x v="53"/>
    <x v="5"/>
    <x v="1"/>
    <x v="1"/>
    <x v="0"/>
    <n v="150"/>
    <n v="0"/>
    <n v="300"/>
    <x v="3"/>
    <x v="3"/>
  </r>
  <r>
    <n v="1055"/>
    <x v="54"/>
    <x v="6"/>
    <x v="1"/>
    <x v="2"/>
    <x v="4"/>
    <n v="350"/>
    <n v="0.05"/>
    <n v="332.5"/>
    <x v="3"/>
    <x v="3"/>
  </r>
  <r>
    <n v="1056"/>
    <x v="55"/>
    <x v="7"/>
    <x v="1"/>
    <x v="3"/>
    <x v="3"/>
    <n v="41"/>
    <n v="0"/>
    <n v="164"/>
    <x v="3"/>
    <x v="3"/>
  </r>
  <r>
    <n v="1057"/>
    <x v="56"/>
    <x v="0"/>
    <x v="0"/>
    <x v="0"/>
    <x v="4"/>
    <n v="920"/>
    <n v="0.05"/>
    <n v="874"/>
    <x v="3"/>
    <x v="3"/>
  </r>
  <r>
    <n v="1058"/>
    <x v="57"/>
    <x v="1"/>
    <x v="0"/>
    <x v="1"/>
    <x v="6"/>
    <n v="27"/>
    <n v="0"/>
    <n v="162"/>
    <x v="3"/>
    <x v="3"/>
  </r>
  <r>
    <n v="1059"/>
    <x v="58"/>
    <x v="2"/>
    <x v="0"/>
    <x v="2"/>
    <x v="2"/>
    <n v="50"/>
    <n v="0.1"/>
    <n v="135"/>
    <x v="3"/>
    <x v="3"/>
  </r>
  <r>
    <n v="1060"/>
    <x v="59"/>
    <x v="3"/>
    <x v="0"/>
    <x v="3"/>
    <x v="0"/>
    <n v="80"/>
    <n v="0"/>
    <n v="160"/>
    <x v="3"/>
    <x v="3"/>
  </r>
  <r>
    <n v="1061"/>
    <x v="60"/>
    <x v="4"/>
    <x v="0"/>
    <x v="0"/>
    <x v="4"/>
    <n v="240"/>
    <n v="0.1"/>
    <n v="216"/>
    <x v="3"/>
    <x v="3"/>
  </r>
  <r>
    <n v="1062"/>
    <x v="61"/>
    <x v="5"/>
    <x v="1"/>
    <x v="1"/>
    <x v="2"/>
    <n v="155"/>
    <n v="0"/>
    <n v="465"/>
    <x v="3"/>
    <x v="3"/>
  </r>
  <r>
    <n v="1063"/>
    <x v="62"/>
    <x v="6"/>
    <x v="1"/>
    <x v="2"/>
    <x v="4"/>
    <n v="360"/>
    <n v="0.05"/>
    <n v="342"/>
    <x v="4"/>
    <x v="4"/>
  </r>
  <r>
    <n v="1064"/>
    <x v="63"/>
    <x v="7"/>
    <x v="1"/>
    <x v="3"/>
    <x v="2"/>
    <n v="42"/>
    <n v="0"/>
    <n v="126"/>
    <x v="4"/>
    <x v="4"/>
  </r>
  <r>
    <n v="1065"/>
    <x v="64"/>
    <x v="0"/>
    <x v="0"/>
    <x v="0"/>
    <x v="0"/>
    <n v="910"/>
    <n v="0.1"/>
    <n v="1638"/>
    <x v="4"/>
    <x v="4"/>
  </r>
  <r>
    <n v="1066"/>
    <x v="65"/>
    <x v="1"/>
    <x v="0"/>
    <x v="1"/>
    <x v="3"/>
    <n v="28"/>
    <n v="0"/>
    <n v="112"/>
    <x v="4"/>
    <x v="4"/>
  </r>
  <r>
    <n v="1067"/>
    <x v="66"/>
    <x v="2"/>
    <x v="0"/>
    <x v="2"/>
    <x v="2"/>
    <n v="52"/>
    <n v="0.1"/>
    <n v="140.4"/>
    <x v="4"/>
    <x v="4"/>
  </r>
  <r>
    <n v="1068"/>
    <x v="67"/>
    <x v="3"/>
    <x v="0"/>
    <x v="3"/>
    <x v="1"/>
    <n v="78"/>
    <n v="0"/>
    <n v="390"/>
    <x v="4"/>
    <x v="4"/>
  </r>
  <r>
    <n v="1069"/>
    <x v="68"/>
    <x v="4"/>
    <x v="0"/>
    <x v="0"/>
    <x v="4"/>
    <n v="250"/>
    <n v="0.15"/>
    <n v="212.5"/>
    <x v="4"/>
    <x v="4"/>
  </r>
  <r>
    <n v="1070"/>
    <x v="69"/>
    <x v="5"/>
    <x v="1"/>
    <x v="1"/>
    <x v="0"/>
    <n v="160"/>
    <n v="0"/>
    <n v="320"/>
    <x v="4"/>
    <x v="4"/>
  </r>
  <r>
    <n v="1071"/>
    <x v="70"/>
    <x v="6"/>
    <x v="1"/>
    <x v="2"/>
    <x v="4"/>
    <n v="370"/>
    <n v="0.05"/>
    <n v="351.5"/>
    <x v="4"/>
    <x v="4"/>
  </r>
  <r>
    <n v="1072"/>
    <x v="71"/>
    <x v="7"/>
    <x v="1"/>
    <x v="3"/>
    <x v="3"/>
    <n v="43"/>
    <n v="0"/>
    <n v="172"/>
    <x v="4"/>
    <x v="4"/>
  </r>
  <r>
    <n v="1073"/>
    <x v="72"/>
    <x v="0"/>
    <x v="0"/>
    <x v="0"/>
    <x v="4"/>
    <n v="930"/>
    <n v="0.05"/>
    <n v="883.5"/>
    <x v="4"/>
    <x v="4"/>
  </r>
  <r>
    <n v="1074"/>
    <x v="73"/>
    <x v="1"/>
    <x v="0"/>
    <x v="1"/>
    <x v="7"/>
    <n v="29"/>
    <n v="0"/>
    <n v="203"/>
    <x v="4"/>
    <x v="4"/>
  </r>
  <r>
    <n v="1075"/>
    <x v="74"/>
    <x v="2"/>
    <x v="0"/>
    <x v="2"/>
    <x v="0"/>
    <n v="53"/>
    <n v="0.1"/>
    <n v="95.4"/>
    <x v="4"/>
    <x v="4"/>
  </r>
  <r>
    <n v="1076"/>
    <x v="75"/>
    <x v="3"/>
    <x v="0"/>
    <x v="3"/>
    <x v="2"/>
    <n v="82"/>
    <n v="0"/>
    <n v="246"/>
    <x v="4"/>
    <x v="4"/>
  </r>
  <r>
    <n v="1077"/>
    <x v="76"/>
    <x v="4"/>
    <x v="0"/>
    <x v="0"/>
    <x v="0"/>
    <n v="260"/>
    <n v="0.1"/>
    <n v="468"/>
    <x v="4"/>
    <x v="4"/>
  </r>
  <r>
    <n v="1078"/>
    <x v="77"/>
    <x v="5"/>
    <x v="1"/>
    <x v="1"/>
    <x v="4"/>
    <n v="165"/>
    <n v="0"/>
    <n v="165"/>
    <x v="5"/>
    <x v="5"/>
  </r>
  <r>
    <n v="1079"/>
    <x v="78"/>
    <x v="6"/>
    <x v="1"/>
    <x v="2"/>
    <x v="0"/>
    <n v="380"/>
    <n v="0.05"/>
    <n v="722"/>
    <x v="5"/>
    <x v="5"/>
  </r>
  <r>
    <n v="1080"/>
    <x v="79"/>
    <x v="7"/>
    <x v="1"/>
    <x v="3"/>
    <x v="2"/>
    <n v="44"/>
    <n v="0"/>
    <n v="132"/>
    <x v="5"/>
    <x v="5"/>
  </r>
  <r>
    <n v="1081"/>
    <x v="80"/>
    <x v="0"/>
    <x v="0"/>
    <x v="0"/>
    <x v="4"/>
    <n v="940"/>
    <n v="0.05"/>
    <n v="893"/>
    <x v="5"/>
    <x v="5"/>
  </r>
  <r>
    <n v="1082"/>
    <x v="81"/>
    <x v="1"/>
    <x v="0"/>
    <x v="1"/>
    <x v="8"/>
    <n v="30"/>
    <n v="0"/>
    <n v="240"/>
    <x v="5"/>
    <x v="5"/>
  </r>
  <r>
    <n v="1083"/>
    <x v="82"/>
    <x v="2"/>
    <x v="0"/>
    <x v="2"/>
    <x v="2"/>
    <n v="55"/>
    <n v="0.1"/>
    <n v="148.5"/>
    <x v="5"/>
    <x v="5"/>
  </r>
  <r>
    <n v="1084"/>
    <x v="83"/>
    <x v="3"/>
    <x v="0"/>
    <x v="3"/>
    <x v="3"/>
    <n v="85"/>
    <n v="0"/>
    <n v="340"/>
    <x v="5"/>
    <x v="5"/>
  </r>
  <r>
    <n v="1085"/>
    <x v="84"/>
    <x v="4"/>
    <x v="0"/>
    <x v="0"/>
    <x v="4"/>
    <n v="270"/>
    <n v="0.15"/>
    <n v="229.5"/>
    <x v="5"/>
    <x v="5"/>
  </r>
  <r>
    <n v="1086"/>
    <x v="85"/>
    <x v="5"/>
    <x v="1"/>
    <x v="1"/>
    <x v="0"/>
    <n v="170"/>
    <n v="0"/>
    <n v="340"/>
    <x v="5"/>
    <x v="5"/>
  </r>
  <r>
    <n v="1087"/>
    <x v="86"/>
    <x v="6"/>
    <x v="1"/>
    <x v="2"/>
    <x v="4"/>
    <n v="390"/>
    <n v="0.05"/>
    <n v="370.5"/>
    <x v="5"/>
    <x v="5"/>
  </r>
  <r>
    <n v="1088"/>
    <x v="87"/>
    <x v="7"/>
    <x v="1"/>
    <x v="3"/>
    <x v="3"/>
    <n v="46"/>
    <n v="0"/>
    <n v="184"/>
    <x v="5"/>
    <x v="5"/>
  </r>
  <r>
    <n v="1089"/>
    <x v="88"/>
    <x v="0"/>
    <x v="0"/>
    <x v="0"/>
    <x v="0"/>
    <n v="950"/>
    <n v="0.1"/>
    <n v="1710"/>
    <x v="5"/>
    <x v="5"/>
  </r>
  <r>
    <n v="1090"/>
    <x v="89"/>
    <x v="1"/>
    <x v="0"/>
    <x v="1"/>
    <x v="1"/>
    <n v="31"/>
    <n v="0"/>
    <n v="155"/>
    <x v="5"/>
    <x v="5"/>
  </r>
  <r>
    <n v="1091"/>
    <x v="90"/>
    <x v="2"/>
    <x v="0"/>
    <x v="2"/>
    <x v="2"/>
    <n v="56"/>
    <n v="0.1"/>
    <n v="151.20000000000002"/>
    <x v="5"/>
    <x v="5"/>
  </r>
  <r>
    <n v="1092"/>
    <x v="91"/>
    <x v="3"/>
    <x v="0"/>
    <x v="3"/>
    <x v="0"/>
    <n v="88"/>
    <n v="0"/>
    <n v="176"/>
    <x v="5"/>
    <x v="5"/>
  </r>
  <r>
    <n v="1093"/>
    <x v="92"/>
    <x v="4"/>
    <x v="0"/>
    <x v="0"/>
    <x v="4"/>
    <n v="280"/>
    <n v="0.1"/>
    <n v="252"/>
    <x v="6"/>
    <x v="6"/>
  </r>
  <r>
    <n v="1094"/>
    <x v="93"/>
    <x v="5"/>
    <x v="1"/>
    <x v="1"/>
    <x v="2"/>
    <n v="175"/>
    <n v="0"/>
    <n v="525"/>
    <x v="6"/>
    <x v="6"/>
  </r>
  <r>
    <n v="1095"/>
    <x v="94"/>
    <x v="6"/>
    <x v="1"/>
    <x v="2"/>
    <x v="4"/>
    <n v="400"/>
    <n v="0.05"/>
    <n v="380"/>
    <x v="6"/>
    <x v="6"/>
  </r>
  <r>
    <n v="1096"/>
    <x v="95"/>
    <x v="7"/>
    <x v="1"/>
    <x v="3"/>
    <x v="2"/>
    <n v="47"/>
    <n v="0"/>
    <n v="141"/>
    <x v="6"/>
    <x v="6"/>
  </r>
  <r>
    <n v="1097"/>
    <x v="96"/>
    <x v="0"/>
    <x v="0"/>
    <x v="0"/>
    <x v="4"/>
    <n v="960"/>
    <n v="0.05"/>
    <n v="912"/>
    <x v="6"/>
    <x v="6"/>
  </r>
  <r>
    <n v="1098"/>
    <x v="97"/>
    <x v="1"/>
    <x v="0"/>
    <x v="1"/>
    <x v="6"/>
    <n v="32"/>
    <n v="0"/>
    <n v="192"/>
    <x v="6"/>
    <x v="6"/>
  </r>
  <r>
    <n v="1099"/>
    <x v="98"/>
    <x v="2"/>
    <x v="0"/>
    <x v="2"/>
    <x v="2"/>
    <n v="58"/>
    <n v="0.1"/>
    <n v="156.6"/>
    <x v="6"/>
    <x v="6"/>
  </r>
  <r>
    <n v="1100"/>
    <x v="99"/>
    <x v="3"/>
    <x v="0"/>
    <x v="3"/>
    <x v="3"/>
    <n v="90"/>
    <n v="0"/>
    <n v="360"/>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BEFCAD-C44E-4800-8EB9-B1642CE4A502}" name="PivotTable1"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1">
    <pivotField showAll="0"/>
    <pivotField numFmtId="14" showAll="0"/>
    <pivotField showAll="0"/>
    <pivotField showAll="0"/>
    <pivotField showAll="0"/>
    <pivotField dataField="1" showAll="0">
      <items count="10">
        <item x="4"/>
        <item x="0"/>
        <item x="2"/>
        <item x="3"/>
        <item x="1"/>
        <item x="6"/>
        <item x="7"/>
        <item x="8"/>
        <item x="5"/>
        <item t="default"/>
      </items>
    </pivotField>
    <pivotField showAll="0"/>
    <pivotField numFmtId="10" showAll="0"/>
    <pivotField dataField="1" numFmtId="165" showAll="0"/>
    <pivotField showAll="0"/>
    <pivotField showAll="0"/>
  </pivotFields>
  <rowItems count="1">
    <i/>
  </rowItems>
  <colFields count="1">
    <field x="-2"/>
  </colFields>
  <colItems count="2">
    <i>
      <x/>
    </i>
    <i i="1">
      <x v="1"/>
    </i>
  </colItems>
  <dataFields count="2">
    <dataField name="Count of  Quantity " fld="5" subtotal="count" baseField="0" baseItem="1"/>
    <dataField name="Sum of  Total Revenue" fld="8"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19DBAC-D01F-451F-AC14-0DB32AB1E4D2}" name="PivotTable1" cacheId="10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B12" firstHeaderRow="1" firstDataRow="1" firstDataCol="1"/>
  <pivotFields count="11">
    <pivotField compact="0" outline="0" showAll="0"/>
    <pivotField compact="0" numFmtId="164"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compact="0" outline="0" showAll="0" sortType="descending">
      <items count="9">
        <item x="5"/>
        <item x="6"/>
        <item x="3"/>
        <item x="2"/>
        <item x="7"/>
        <item x="0"/>
        <item x="4"/>
        <item x="1"/>
        <item t="default"/>
      </items>
      <autoSortScope>
        <pivotArea dataOnly="0" outline="0" fieldPosition="0">
          <references count="1">
            <reference field="4294967294" count="1" selected="0">
              <x v="0"/>
            </reference>
          </references>
        </pivotArea>
      </autoSortScope>
    </pivotField>
    <pivotField compact="0" outline="0" showAll="0">
      <items count="3">
        <item x="0"/>
        <item x="1"/>
        <item t="default"/>
      </items>
    </pivotField>
    <pivotField compact="0" outline="0" showAll="0">
      <items count="5">
        <item x="2"/>
        <item x="0"/>
        <item x="1"/>
        <item x="3"/>
        <item t="default"/>
      </items>
    </pivotField>
    <pivotField compact="0" outline="0" showAll="0"/>
    <pivotField compact="0" outline="0" showAll="0"/>
    <pivotField compact="0" numFmtId="10" outline="0" showAll="0"/>
    <pivotField dataField="1" compact="0" numFmtId="165" outline="0" showAll="0"/>
    <pivotField compact="0" outline="0" showAll="0">
      <items count="8">
        <item x="0"/>
        <item x="1"/>
        <item x="2"/>
        <item x="3"/>
        <item x="4"/>
        <item x="5"/>
        <item x="6"/>
        <item t="default"/>
      </items>
    </pivotField>
    <pivotField compact="0" outline="0" showAll="0"/>
  </pivotFields>
  <rowFields count="1">
    <field x="2"/>
  </rowFields>
  <rowItems count="9">
    <i>
      <x v="5"/>
    </i>
    <i>
      <x v="1"/>
    </i>
    <i>
      <x/>
    </i>
    <i>
      <x v="2"/>
    </i>
    <i>
      <x v="6"/>
    </i>
    <i>
      <x v="7"/>
    </i>
    <i>
      <x v="3"/>
    </i>
    <i>
      <x v="4"/>
    </i>
    <i t="grand">
      <x/>
    </i>
  </rowItems>
  <colItems count="1">
    <i/>
  </colItems>
  <dataFields count="1">
    <dataField name="Sum of  Total Revenue" fld="8" baseField="0" baseItem="0" numFmtId="165"/>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3D298A-3235-43DF-B0C5-BA2142708269}" name="PivotTable2" cacheId="10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3:B8" firstHeaderRow="1" firstDataRow="1" firstDataCol="1"/>
  <pivotFields count="11">
    <pivotField compact="0" outline="0" showAll="0"/>
    <pivotField compact="0" numFmtId="164"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pivotField compact="0" outline="0" showAll="0">
      <items count="3">
        <item x="0"/>
        <item x="1"/>
        <item t="default"/>
      </items>
    </pivotField>
    <pivotField axis="axisRow" compact="0" outline="0"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0" outline="0" showAll="0"/>
    <pivotField dataField="1" compact="0" numFmtId="165" outline="0" showAll="0"/>
    <pivotField compact="0" outline="0" showAll="0">
      <items count="8">
        <item x="0"/>
        <item x="1"/>
        <item x="2"/>
        <item x="3"/>
        <item x="4"/>
        <item x="5"/>
        <item x="6"/>
        <item t="default"/>
      </items>
    </pivotField>
    <pivotField compact="0" outline="0" showAll="0"/>
  </pivotFields>
  <rowFields count="1">
    <field x="4"/>
  </rowFields>
  <rowItems count="5">
    <i>
      <x v="1"/>
    </i>
    <i>
      <x/>
    </i>
    <i>
      <x v="2"/>
    </i>
    <i>
      <x v="3"/>
    </i>
    <i t="grand">
      <x/>
    </i>
  </rowItems>
  <colItems count="1">
    <i/>
  </colItems>
  <dataFields count="1">
    <dataField name="Sum of  Total Revenue" fld="8" baseField="0" baseItem="0" numFmtId="165"/>
  </dataFields>
  <chartFormats count="25">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4" count="1" selected="0">
            <x v="1"/>
          </reference>
        </references>
      </pivotArea>
    </chartFormat>
    <chartFormat chart="1" format="7">
      <pivotArea type="data" outline="0" fieldPosition="0">
        <references count="2">
          <reference field="4294967294" count="1" selected="0">
            <x v="0"/>
          </reference>
          <reference field="4" count="1" selected="0">
            <x v="0"/>
          </reference>
        </references>
      </pivotArea>
    </chartFormat>
    <chartFormat chart="1" format="8">
      <pivotArea type="data" outline="0" fieldPosition="0">
        <references count="2">
          <reference field="4294967294" count="1" selected="0">
            <x v="0"/>
          </reference>
          <reference field="4" count="1" selected="0">
            <x v="2"/>
          </reference>
        </references>
      </pivotArea>
    </chartFormat>
    <chartFormat chart="1" format="9">
      <pivotArea type="data" outline="0" fieldPosition="0">
        <references count="2">
          <reference field="4294967294" count="1" selected="0">
            <x v="0"/>
          </reference>
          <reference field="4"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1"/>
          </reference>
        </references>
      </pivotArea>
    </chartFormat>
    <chartFormat chart="2" format="12">
      <pivotArea type="data" outline="0" fieldPosition="0">
        <references count="2">
          <reference field="4294967294" count="1" selected="0">
            <x v="0"/>
          </reference>
          <reference field="4" count="1" selected="0">
            <x v="0"/>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4" count="1" selected="0">
            <x v="1"/>
          </reference>
        </references>
      </pivotArea>
    </chartFormat>
    <chartFormat chart="3" format="17">
      <pivotArea type="data" outline="0" fieldPosition="0">
        <references count="2">
          <reference field="4294967294" count="1" selected="0">
            <x v="0"/>
          </reference>
          <reference field="4" count="1" selected="0">
            <x v="0"/>
          </reference>
        </references>
      </pivotArea>
    </chartFormat>
    <chartFormat chart="3" format="18">
      <pivotArea type="data" outline="0" fieldPosition="0">
        <references count="2">
          <reference field="4294967294" count="1" selected="0">
            <x v="0"/>
          </reference>
          <reference field="4" count="1" selected="0">
            <x v="2"/>
          </reference>
        </references>
      </pivotArea>
    </chartFormat>
    <chartFormat chart="3" format="19">
      <pivotArea type="data" outline="0" fieldPosition="0">
        <references count="2">
          <reference field="4294967294" count="1" selected="0">
            <x v="0"/>
          </reference>
          <reference field="4" count="1" selected="0">
            <x v="3"/>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4" count="1" selected="0">
            <x v="1"/>
          </reference>
        </references>
      </pivotArea>
    </chartFormat>
    <chartFormat chart="5" format="27">
      <pivotArea type="data" outline="0" fieldPosition="0">
        <references count="2">
          <reference field="4294967294" count="1" selected="0">
            <x v="0"/>
          </reference>
          <reference field="4" count="1" selected="0">
            <x v="0"/>
          </reference>
        </references>
      </pivotArea>
    </chartFormat>
    <chartFormat chart="5" format="28">
      <pivotArea type="data" outline="0" fieldPosition="0">
        <references count="2">
          <reference field="4294967294" count="1" selected="0">
            <x v="0"/>
          </reference>
          <reference field="4" count="1" selected="0">
            <x v="2"/>
          </reference>
        </references>
      </pivotArea>
    </chartFormat>
    <chartFormat chart="5" format="29">
      <pivotArea type="data" outline="0" fieldPosition="0">
        <references count="2">
          <reference field="4294967294" count="1" selected="0">
            <x v="0"/>
          </reference>
          <reference field="4" count="1" selected="0">
            <x v="3"/>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4" count="1" selected="0">
            <x v="1"/>
          </reference>
        </references>
      </pivotArea>
    </chartFormat>
    <chartFormat chart="6" format="32">
      <pivotArea type="data" outline="0" fieldPosition="0">
        <references count="2">
          <reference field="4294967294" count="1" selected="0">
            <x v="0"/>
          </reference>
          <reference field="4" count="1" selected="0">
            <x v="0"/>
          </reference>
        </references>
      </pivotArea>
    </chartFormat>
    <chartFormat chart="6" format="33">
      <pivotArea type="data" outline="0" fieldPosition="0">
        <references count="2">
          <reference field="4294967294" count="1" selected="0">
            <x v="0"/>
          </reference>
          <reference field="4" count="1" selected="0">
            <x v="2"/>
          </reference>
        </references>
      </pivotArea>
    </chartFormat>
    <chartFormat chart="6" format="34">
      <pivotArea type="data" outline="0" fieldPosition="0">
        <references count="2">
          <reference field="4294967294" count="1" selected="0">
            <x v="0"/>
          </reference>
          <reference field="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F48660-D2A0-4883-B376-E674DE26463B}" name="PivotTable3" cacheId="10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B6" firstHeaderRow="1" firstDataRow="1" firstDataCol="1"/>
  <pivotFields count="11">
    <pivotField compact="0" outline="0" showAll="0"/>
    <pivotField compact="0" numFmtId="164"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pivotField axis="axisRow" compact="0" outline="0" showAll="0" defaultSubtotal="0">
      <items count="2">
        <item x="0"/>
        <item x="1"/>
      </items>
    </pivotField>
    <pivotField compact="0" outline="0" showAll="0">
      <items count="5">
        <item x="2"/>
        <item x="0"/>
        <item x="1"/>
        <item x="3"/>
        <item t="default"/>
      </items>
    </pivotField>
    <pivotField compact="0" outline="0" showAll="0"/>
    <pivotField compact="0" outline="0" showAll="0"/>
    <pivotField compact="0" numFmtId="10" outline="0" showAll="0"/>
    <pivotField dataField="1" compact="0" numFmtId="165" outline="0" showAll="0"/>
    <pivotField compact="0" outline="0" showAll="0">
      <items count="8">
        <item x="0"/>
        <item x="1"/>
        <item x="2"/>
        <item x="3"/>
        <item x="4"/>
        <item x="5"/>
        <item x="6"/>
        <item t="default"/>
      </items>
    </pivotField>
    <pivotField compact="0" outline="0" showAll="0"/>
  </pivotFields>
  <rowFields count="1">
    <field x="3"/>
  </rowFields>
  <rowItems count="3">
    <i>
      <x/>
    </i>
    <i>
      <x v="1"/>
    </i>
    <i t="grand">
      <x/>
    </i>
  </rowItems>
  <colItems count="1">
    <i/>
  </colItems>
  <dataFields count="1">
    <dataField name="Sum of  Total Revenue" fld="8" baseField="0" baseItem="0" numFmtId="165"/>
  </dataFields>
  <chartFormats count="15">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3" count="1" selected="0">
            <x v="0"/>
          </reference>
        </references>
      </pivotArea>
    </chartFormat>
    <chartFormat chart="1" format="5">
      <pivotArea type="data" outline="0" fieldPosition="0">
        <references count="2">
          <reference field="4294967294" count="1" selected="0">
            <x v="0"/>
          </reference>
          <reference field="3"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3" count="1" selected="0">
            <x v="0"/>
          </reference>
        </references>
      </pivotArea>
    </chartFormat>
    <chartFormat chart="3" format="11">
      <pivotArea type="data" outline="0" fieldPosition="0">
        <references count="2">
          <reference field="4294967294" count="1" selected="0">
            <x v="0"/>
          </reference>
          <reference field="3" count="1" selected="0">
            <x v="1"/>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3" count="1" selected="0">
            <x v="0"/>
          </reference>
        </references>
      </pivotArea>
    </chartFormat>
    <chartFormat chart="8" format="17">
      <pivotArea type="data" outline="0" fieldPosition="0">
        <references count="2">
          <reference field="4294967294" count="1" selected="0">
            <x v="0"/>
          </reference>
          <reference field="3" count="1" selected="0">
            <x v="1"/>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3" count="1" selected="0">
            <x v="0"/>
          </reference>
        </references>
      </pivotArea>
    </chartFormat>
    <chartFormat chart="9" format="20">
      <pivotArea type="data" outline="0" fieldPosition="0">
        <references count="2">
          <reference field="4294967294" count="1" selected="0">
            <x v="0"/>
          </reference>
          <reference field="3"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39900E-2CDD-4798-BB79-CE1D6D544DBD}" name="PivotTable4" cacheId="10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B11" firstHeaderRow="1" firstDataRow="1" firstDataCol="1"/>
  <pivotFields count="11">
    <pivotField compact="0" outline="0" showAll="0"/>
    <pivotField compact="0" numFmtId="164"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pivotField compact="0" outline="0" showAll="0">
      <items count="3">
        <item x="0"/>
        <item x="1"/>
        <item t="default"/>
      </items>
    </pivotField>
    <pivotField compact="0" outline="0" showAll="0">
      <items count="5">
        <item x="2"/>
        <item x="0"/>
        <item x="1"/>
        <item x="3"/>
        <item t="default"/>
      </items>
    </pivotField>
    <pivotField compact="0" outline="0" showAll="0"/>
    <pivotField compact="0" outline="0" showAll="0"/>
    <pivotField compact="0" numFmtId="10" outline="0" showAll="0"/>
    <pivotField dataField="1" compact="0" numFmtId="165" outline="0" showAll="0"/>
    <pivotField axis="axisRow" compact="0" outline="0" showAll="0">
      <items count="8">
        <item x="0"/>
        <item x="1"/>
        <item x="2"/>
        <item x="3"/>
        <item x="4"/>
        <item x="5"/>
        <item x="6"/>
        <item t="default"/>
      </items>
    </pivotField>
    <pivotField compact="0" outline="0" showAll="0" sortType="ascending">
      <items count="8">
        <item x="0"/>
        <item x="1"/>
        <item x="2"/>
        <item x="3"/>
        <item x="4"/>
        <item x="5"/>
        <item x="6"/>
        <item t="default"/>
      </items>
    </pivotField>
  </pivotFields>
  <rowFields count="1">
    <field x="9"/>
  </rowFields>
  <rowItems count="8">
    <i>
      <x/>
    </i>
    <i>
      <x v="1"/>
    </i>
    <i>
      <x v="2"/>
    </i>
    <i>
      <x v="3"/>
    </i>
    <i>
      <x v="4"/>
    </i>
    <i>
      <x v="5"/>
    </i>
    <i>
      <x v="6"/>
    </i>
    <i t="grand">
      <x/>
    </i>
  </rowItems>
  <colItems count="1">
    <i/>
  </colItems>
  <dataFields count="1">
    <dataField name="Sum of  Total Revenue" fld="8" baseField="0" baseItem="0" numFmtId="165"/>
  </dataFields>
  <formats count="2">
    <format dxfId="6">
      <pivotArea field="1" type="button" dataOnly="0" labelOnly="1" outline="0"/>
    </format>
    <format dxfId="7">
      <pivotArea dataOnly="0" labelOnly="1" grandRow="1" outline="0" fieldPosition="0"/>
    </format>
  </format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8373C5-B6D2-468A-9329-FACEF0D1EA97}" sourceName=" Category ">
  <pivotTables>
    <pivotTable tabId="5" name="PivotTable4"/>
    <pivotTable tabId="4" name="PivotTable3"/>
    <pivotTable tabId="2" name="PivotTable1"/>
    <pivotTable tabId="3" name="PivotTable2"/>
  </pivotTables>
  <data>
    <tabular pivotCacheId="7438430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D7C625F-ADE1-4EC5-AE73-AEE92B4744AA}" sourceName="Month">
  <pivotTables>
    <pivotTable tabId="5" name="PivotTable4"/>
    <pivotTable tabId="4" name="PivotTable3"/>
    <pivotTable tabId="2" name="PivotTable1"/>
    <pivotTable tabId="3" name="PivotTable2"/>
  </pivotTables>
  <data>
    <tabular pivotCacheId="743843052">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ED70B2-CA10-4DC6-8524-D9BE5BB58573}" sourceName=" Region ">
  <pivotTables>
    <pivotTable tabId="5" name="PivotTable4"/>
    <pivotTable tabId="4" name="PivotTable3"/>
    <pivotTable tabId="2" name="PivotTable1"/>
    <pivotTable tabId="3" name="PivotTable2"/>
  </pivotTables>
  <data>
    <tabular pivotCacheId="74384305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ategory " xr10:uid="{13A880F4-8F84-4E70-83F2-4ECF3BFF6E7B}" cache="Slicer_Category" columnCount="2" style="SlicerStyleDark1" rowHeight="457200"/>
  <slicer name="Month" xr10:uid="{0AAF575D-CD0C-4AD3-BC75-5A9302A823A1}" cache="Slicer_Month" columnCount="7" style="SlicerStyleDark1" rowHeight="819150"/>
  <slicer name=" Region " xr10:uid="{EB98FDBF-E64D-49DF-A144-78A54B7BE5D0}" cache="Slicer_Region" caption=" Region " columnCount="4" showCaption="0" style="SlicerStyleDark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59BA9B-50EE-4746-8285-56EFC233C816}" name="Table1" displayName="Table1" ref="A1:K101" totalsRowShown="0">
  <autoFilter ref="A1:K101" xr:uid="{D359BA9B-50EE-4746-8285-56EFC233C816}"/>
  <tableColumns count="11">
    <tableColumn id="1" xr3:uid="{7F45C0D5-5FDE-4214-A3A9-02C228D89656}" name="Order ID " dataDxfId="5"/>
    <tableColumn id="2" xr3:uid="{91AE9346-D70F-49B6-A236-991DFFEE5187}" name=" Date " dataDxfId="4"/>
    <tableColumn id="3" xr3:uid="{4EA861EF-8D28-4854-A101-70A2ED940664}" name=" Product "/>
    <tableColumn id="4" xr3:uid="{5F8E2239-6E18-4205-A889-0BD16076E9B8}" name=" Category "/>
    <tableColumn id="5" xr3:uid="{9604C9E8-2D13-4868-99CB-71EC341EE815}" name=" Region "/>
    <tableColumn id="6" xr3:uid="{A561AA24-AD0D-41EF-9F55-29A4E975FB00}" name=" Quantity "/>
    <tableColumn id="7" xr3:uid="{CFAF6660-6D32-48D2-BB9A-D7D3AA297B04}" name=" Unit Price "/>
    <tableColumn id="8" xr3:uid="{D0FBE31D-FE6F-43F9-B96B-6AAE9CD0EC5C}" name=" Discount " dataDxfId="3"/>
    <tableColumn id="9" xr3:uid="{A2700859-65AB-45F7-9446-C6FB62BC9FE7}" name=" Total Revenue" dataDxfId="2">
      <calculatedColumnFormula>Table1[[#This Row],[ Unit Price ]]*Table1[[#This Row],[ Quantity ]]*(1 -Table1[[#This Row],[ Discount ]])</calculatedColumnFormula>
    </tableColumn>
    <tableColumn id="10" xr3:uid="{43BAC166-C456-46E7-BC8E-105F7921724B}" name="Month" dataDxfId="1">
      <calculatedColumnFormula>TEXT(Table1[[#This Row],[ Date ]], "mmmm")</calculatedColumnFormula>
    </tableColumn>
    <tableColumn id="11" xr3:uid="{2B2CE767-60E9-4E2B-B7B8-96FDE8F1D708}" name="Month #" dataDxfId="0">
      <calculatedColumnFormula>MONTH(Table1[[#This Row],[ Date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3D392DF-1730-4DFE-89B2-A24666D06EBF}" sourceName=" Date ">
  <pivotTables>
    <pivotTable tabId="5" name="PivotTable4"/>
    <pivotTable tabId="4" name="PivotTable3"/>
    <pivotTable tabId="2" name="PivotTable1"/>
    <pivotTable tabId="3" name="PivotTable2"/>
  </pivotTables>
  <state minimalRefreshVersion="6" lastRefreshVersion="6" pivotCacheId="74384305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 Date " xr10:uid="{F5AC61F5-A327-4EAF-8C9E-4E1EDD3EF256}" cache="NativeTimeline_Date" caption=" Date " showHeader="0" showSelectionLabel="0" showTimeLevel="0" showHorizontalScrollbar="0" level="2" selectionLevel="2" scrollPosition="2023-06-06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E993-0355-47E3-A7F4-C77E87DF2FE0}">
  <dimension ref="A3:D8"/>
  <sheetViews>
    <sheetView workbookViewId="0">
      <selection activeCell="D8" sqref="D8"/>
    </sheetView>
  </sheetViews>
  <sheetFormatPr defaultRowHeight="13.9"/>
  <cols>
    <col min="1" max="1" width="17.375" bestFit="1" customWidth="1"/>
    <col min="2" max="2" width="21" bestFit="1" customWidth="1"/>
    <col min="4" max="4" width="12" customWidth="1"/>
  </cols>
  <sheetData>
    <row r="3" spans="1:4">
      <c r="A3" t="s">
        <v>0</v>
      </c>
      <c r="B3" t="s">
        <v>1</v>
      </c>
    </row>
    <row r="4" spans="1:4">
      <c r="A4">
        <v>100</v>
      </c>
      <c r="B4" s="5">
        <v>35257.500000000007</v>
      </c>
    </row>
    <row r="8" spans="1:4">
      <c r="D8" s="5">
        <f>GETPIVOTDATA("Sum of  Total Revenue",$A$3)/GETPIVOTDATA("Count of  Quantity ",$A$3)</f>
        <v>352.57500000000005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workbookViewId="0">
      <pane ySplit="1" topLeftCell="A2" activePane="bottomLeft" state="frozen"/>
      <selection pane="bottomLeft" sqref="A1:K101"/>
    </sheetView>
  </sheetViews>
  <sheetFormatPr defaultRowHeight="13.9"/>
  <cols>
    <col min="1" max="1" width="11.125" style="4" bestFit="1" customWidth="1"/>
    <col min="2" max="2" width="12.125" style="7" bestFit="1" customWidth="1"/>
    <col min="3" max="3" width="12.875" bestFit="1" customWidth="1"/>
    <col min="4" max="4" width="12" bestFit="1" customWidth="1"/>
    <col min="5" max="5" width="10.25" bestFit="1" customWidth="1"/>
    <col min="6" max="6" width="12" bestFit="1" customWidth="1"/>
    <col min="7" max="7" width="12.875" bestFit="1" customWidth="1"/>
    <col min="8" max="8" width="12" style="2" bestFit="1" customWidth="1"/>
    <col min="9" max="9" width="16.375" style="5" bestFit="1" customWidth="1"/>
    <col min="10" max="10" width="11.25" style="8" bestFit="1" customWidth="1"/>
    <col min="11" max="11" width="10.75" bestFit="1" customWidth="1"/>
    <col min="13" max="13" width="30.125" bestFit="1" customWidth="1"/>
  </cols>
  <sheetData>
    <row r="1" spans="1:17">
      <c r="A1" s="3" t="s">
        <v>2</v>
      </c>
      <c r="B1" s="7" t="s">
        <v>3</v>
      </c>
      <c r="C1" t="s">
        <v>4</v>
      </c>
      <c r="D1" t="s">
        <v>5</v>
      </c>
      <c r="E1" t="s">
        <v>6</v>
      </c>
      <c r="F1" t="s">
        <v>7</v>
      </c>
      <c r="G1" t="s">
        <v>8</v>
      </c>
      <c r="H1" s="2" t="s">
        <v>9</v>
      </c>
      <c r="I1" s="5" t="s">
        <v>10</v>
      </c>
      <c r="J1" s="9" t="s">
        <v>11</v>
      </c>
      <c r="K1" t="s">
        <v>12</v>
      </c>
    </row>
    <row r="2" spans="1:17" ht="14.45">
      <c r="A2" s="3">
        <v>1001</v>
      </c>
      <c r="B2" s="7">
        <v>45047</v>
      </c>
      <c r="C2" t="s">
        <v>13</v>
      </c>
      <c r="D2" t="s">
        <v>14</v>
      </c>
      <c r="E2" t="s">
        <v>15</v>
      </c>
      <c r="F2">
        <v>2</v>
      </c>
      <c r="G2">
        <v>850</v>
      </c>
      <c r="H2" s="2">
        <v>0.05</v>
      </c>
      <c r="I2" s="5">
        <f>Table1[[#This Row],[ Unit Price ]]*Table1[[#This Row],[ Quantity ]]*(1 -Table1[[#This Row],[ Discount ]])</f>
        <v>1615</v>
      </c>
      <c r="J2" s="9" t="str">
        <f>TEXT(Table1[[#This Row],[ Date ]], "mmmm")</f>
        <v>May</v>
      </c>
      <c r="K2">
        <f>MONTH(Table1[[#This Row],[ Date ]])</f>
        <v>5</v>
      </c>
      <c r="Q2" s="1"/>
    </row>
    <row r="3" spans="1:17">
      <c r="A3" s="3">
        <v>1002</v>
      </c>
      <c r="B3" s="7">
        <v>45049</v>
      </c>
      <c r="C3" t="s">
        <v>16</v>
      </c>
      <c r="D3" t="s">
        <v>14</v>
      </c>
      <c r="E3" t="s">
        <v>17</v>
      </c>
      <c r="F3">
        <v>5</v>
      </c>
      <c r="G3">
        <v>25</v>
      </c>
      <c r="H3" s="2">
        <v>0</v>
      </c>
      <c r="I3" s="5">
        <f>Table1[[#This Row],[ Unit Price ]]*Table1[[#This Row],[ Quantity ]]*(1 -Table1[[#This Row],[ Discount ]])</f>
        <v>125</v>
      </c>
      <c r="J3" s="9" t="str">
        <f>TEXT(Table1[[#This Row],[ Date ]], "mmmm")</f>
        <v>May</v>
      </c>
      <c r="K3">
        <f>MONTH(Table1[[#This Row],[ Date ]])</f>
        <v>5</v>
      </c>
    </row>
    <row r="4" spans="1:17">
      <c r="A4" s="3">
        <v>1003</v>
      </c>
      <c r="B4" s="7">
        <v>45051</v>
      </c>
      <c r="C4" t="s">
        <v>18</v>
      </c>
      <c r="D4" t="s">
        <v>14</v>
      </c>
      <c r="E4" t="s">
        <v>19</v>
      </c>
      <c r="F4">
        <v>3</v>
      </c>
      <c r="G4">
        <v>45</v>
      </c>
      <c r="H4" s="2">
        <v>0.1</v>
      </c>
      <c r="I4" s="5">
        <f>Table1[[#This Row],[ Unit Price ]]*Table1[[#This Row],[ Quantity ]]*(1 -Table1[[#This Row],[ Discount ]])</f>
        <v>121.5</v>
      </c>
      <c r="J4" s="9" t="str">
        <f>TEXT(Table1[[#This Row],[ Date ]], "mmmm")</f>
        <v>May</v>
      </c>
      <c r="K4">
        <f>MONTH(Table1[[#This Row],[ Date ]])</f>
        <v>5</v>
      </c>
    </row>
    <row r="5" spans="1:17">
      <c r="A5" s="3">
        <v>1004</v>
      </c>
      <c r="B5" s="7">
        <v>45053</v>
      </c>
      <c r="C5" t="s">
        <v>20</v>
      </c>
      <c r="D5" t="s">
        <v>14</v>
      </c>
      <c r="E5" t="s">
        <v>21</v>
      </c>
      <c r="F5">
        <v>4</v>
      </c>
      <c r="G5">
        <v>60</v>
      </c>
      <c r="H5" s="2">
        <v>0</v>
      </c>
      <c r="I5" s="5">
        <f>Table1[[#This Row],[ Unit Price ]]*Table1[[#This Row],[ Quantity ]]*(1 -Table1[[#This Row],[ Discount ]])</f>
        <v>240</v>
      </c>
      <c r="J5" s="9" t="str">
        <f>TEXT(Table1[[#This Row],[ Date ]], "mmmm")</f>
        <v>May</v>
      </c>
      <c r="K5">
        <f>MONTH(Table1[[#This Row],[ Date ]])</f>
        <v>5</v>
      </c>
    </row>
    <row r="6" spans="1:17">
      <c r="A6" s="3">
        <v>1005</v>
      </c>
      <c r="B6" s="7">
        <v>45055</v>
      </c>
      <c r="C6" t="s">
        <v>22</v>
      </c>
      <c r="D6" t="s">
        <v>14</v>
      </c>
      <c r="E6" t="s">
        <v>15</v>
      </c>
      <c r="F6">
        <v>1</v>
      </c>
      <c r="G6">
        <v>200</v>
      </c>
      <c r="H6" s="2">
        <v>0.15</v>
      </c>
      <c r="I6" s="5">
        <f>Table1[[#This Row],[ Unit Price ]]*Table1[[#This Row],[ Quantity ]]*(1 -Table1[[#This Row],[ Discount ]])</f>
        <v>170</v>
      </c>
      <c r="J6" s="9" t="str">
        <f>TEXT(Table1[[#This Row],[ Date ]], "mmmm")</f>
        <v>May</v>
      </c>
      <c r="K6">
        <f>MONTH(Table1[[#This Row],[ Date ]])</f>
        <v>5</v>
      </c>
    </row>
    <row r="7" spans="1:17">
      <c r="A7" s="3">
        <v>1006</v>
      </c>
      <c r="B7" s="7">
        <v>45057</v>
      </c>
      <c r="C7" t="s">
        <v>23</v>
      </c>
      <c r="D7" t="s">
        <v>24</v>
      </c>
      <c r="E7" t="s">
        <v>17</v>
      </c>
      <c r="F7">
        <v>2</v>
      </c>
      <c r="G7">
        <v>120</v>
      </c>
      <c r="H7" s="2">
        <v>0</v>
      </c>
      <c r="I7" s="5">
        <f>Table1[[#This Row],[ Unit Price ]]*Table1[[#This Row],[ Quantity ]]*(1 -Table1[[#This Row],[ Discount ]])</f>
        <v>240</v>
      </c>
      <c r="J7" s="9" t="str">
        <f>TEXT(Table1[[#This Row],[ Date ]], "mmmm")</f>
        <v>May</v>
      </c>
      <c r="K7">
        <f>MONTH(Table1[[#This Row],[ Date ]])</f>
        <v>5</v>
      </c>
    </row>
    <row r="8" spans="1:17">
      <c r="A8" s="3">
        <v>1007</v>
      </c>
      <c r="B8" s="7">
        <v>45059</v>
      </c>
      <c r="C8" t="s">
        <v>25</v>
      </c>
      <c r="D8" t="s">
        <v>24</v>
      </c>
      <c r="E8" t="s">
        <v>19</v>
      </c>
      <c r="F8">
        <v>1</v>
      </c>
      <c r="G8">
        <v>300</v>
      </c>
      <c r="H8" s="2">
        <v>0.05</v>
      </c>
      <c r="I8" s="5">
        <f>Table1[[#This Row],[ Unit Price ]]*Table1[[#This Row],[ Quantity ]]*(1 -Table1[[#This Row],[ Discount ]])</f>
        <v>285</v>
      </c>
      <c r="J8" s="9" t="str">
        <f>TEXT(Table1[[#This Row],[ Date ]], "mmmm")</f>
        <v>May</v>
      </c>
      <c r="K8">
        <f>MONTH(Table1[[#This Row],[ Date ]])</f>
        <v>5</v>
      </c>
    </row>
    <row r="9" spans="1:17">
      <c r="A9" s="3">
        <v>1008</v>
      </c>
      <c r="B9" s="7">
        <v>45061</v>
      </c>
      <c r="C9" t="s">
        <v>26</v>
      </c>
      <c r="D9" t="s">
        <v>24</v>
      </c>
      <c r="E9" t="s">
        <v>21</v>
      </c>
      <c r="F9">
        <v>3</v>
      </c>
      <c r="G9">
        <v>40</v>
      </c>
      <c r="H9" s="2">
        <v>0</v>
      </c>
      <c r="I9" s="5">
        <f>Table1[[#This Row],[ Unit Price ]]*Table1[[#This Row],[ Quantity ]]*(1 -Table1[[#This Row],[ Discount ]])</f>
        <v>120</v>
      </c>
      <c r="J9" s="9" t="str">
        <f>TEXT(Table1[[#This Row],[ Date ]], "mmmm")</f>
        <v>May</v>
      </c>
      <c r="K9">
        <f>MONTH(Table1[[#This Row],[ Date ]])</f>
        <v>5</v>
      </c>
    </row>
    <row r="10" spans="1:17">
      <c r="A10" s="3">
        <v>1009</v>
      </c>
      <c r="B10" s="7">
        <v>45063</v>
      </c>
      <c r="C10" t="s">
        <v>13</v>
      </c>
      <c r="D10" t="s">
        <v>14</v>
      </c>
      <c r="E10" t="s">
        <v>15</v>
      </c>
      <c r="F10">
        <v>1</v>
      </c>
      <c r="G10">
        <v>900</v>
      </c>
      <c r="H10" s="2">
        <v>0.1</v>
      </c>
      <c r="I10" s="5">
        <f>Table1[[#This Row],[ Unit Price ]]*Table1[[#This Row],[ Quantity ]]*(1 -Table1[[#This Row],[ Discount ]])</f>
        <v>810</v>
      </c>
      <c r="J10" s="9" t="str">
        <f>TEXT(Table1[[#This Row],[ Date ]], "mmmm")</f>
        <v>May</v>
      </c>
      <c r="K10">
        <f>MONTH(Table1[[#This Row],[ Date ]])</f>
        <v>5</v>
      </c>
    </row>
    <row r="11" spans="1:17">
      <c r="A11" s="3">
        <v>1010</v>
      </c>
      <c r="B11" s="7">
        <v>45065</v>
      </c>
      <c r="C11" t="s">
        <v>16</v>
      </c>
      <c r="D11" t="s">
        <v>14</v>
      </c>
      <c r="E11" t="s">
        <v>17</v>
      </c>
      <c r="F11">
        <v>10</v>
      </c>
      <c r="G11">
        <v>20</v>
      </c>
      <c r="H11" s="2">
        <v>0</v>
      </c>
      <c r="I11" s="5">
        <f>Table1[[#This Row],[ Unit Price ]]*Table1[[#This Row],[ Quantity ]]*(1 -Table1[[#This Row],[ Discount ]])</f>
        <v>200</v>
      </c>
      <c r="J11" s="9" t="str">
        <f>TEXT(Table1[[#This Row],[ Date ]], "mmmm")</f>
        <v>May</v>
      </c>
      <c r="K11">
        <f>MONTH(Table1[[#This Row],[ Date ]])</f>
        <v>5</v>
      </c>
    </row>
    <row r="12" spans="1:17">
      <c r="A12" s="3">
        <v>1011</v>
      </c>
      <c r="B12" s="7">
        <v>45067</v>
      </c>
      <c r="C12" t="s">
        <v>18</v>
      </c>
      <c r="D12" t="s">
        <v>14</v>
      </c>
      <c r="E12" t="s">
        <v>19</v>
      </c>
      <c r="F12">
        <v>2</v>
      </c>
      <c r="G12">
        <v>50</v>
      </c>
      <c r="H12" s="2">
        <v>0.05</v>
      </c>
      <c r="I12" s="5">
        <f>Table1[[#This Row],[ Unit Price ]]*Table1[[#This Row],[ Quantity ]]*(1 -Table1[[#This Row],[ Discount ]])</f>
        <v>95</v>
      </c>
      <c r="J12" s="9" t="str">
        <f>TEXT(Table1[[#This Row],[ Date ]], "mmmm")</f>
        <v>May</v>
      </c>
      <c r="K12">
        <f>MONTH(Table1[[#This Row],[ Date ]])</f>
        <v>5</v>
      </c>
    </row>
    <row r="13" spans="1:17">
      <c r="A13" s="3">
        <v>1012</v>
      </c>
      <c r="B13" s="7">
        <v>45069</v>
      </c>
      <c r="C13" t="s">
        <v>20</v>
      </c>
      <c r="D13" t="s">
        <v>14</v>
      </c>
      <c r="E13" t="s">
        <v>21</v>
      </c>
      <c r="F13">
        <v>3</v>
      </c>
      <c r="G13">
        <v>70</v>
      </c>
      <c r="H13" s="2">
        <v>0</v>
      </c>
      <c r="I13" s="5">
        <f>Table1[[#This Row],[ Unit Price ]]*Table1[[#This Row],[ Quantity ]]*(1 -Table1[[#This Row],[ Discount ]])</f>
        <v>210</v>
      </c>
      <c r="J13" s="9" t="str">
        <f>TEXT(Table1[[#This Row],[ Date ]], "mmmm")</f>
        <v>May</v>
      </c>
      <c r="K13">
        <f>MONTH(Table1[[#This Row],[ Date ]])</f>
        <v>5</v>
      </c>
    </row>
    <row r="14" spans="1:17">
      <c r="A14" s="3">
        <v>1013</v>
      </c>
      <c r="B14" s="7">
        <v>45071</v>
      </c>
      <c r="C14" t="s">
        <v>22</v>
      </c>
      <c r="D14" t="s">
        <v>14</v>
      </c>
      <c r="E14" t="s">
        <v>15</v>
      </c>
      <c r="F14">
        <v>2</v>
      </c>
      <c r="G14">
        <v>210</v>
      </c>
      <c r="H14" s="2">
        <v>0.1</v>
      </c>
      <c r="I14" s="5">
        <f>Table1[[#This Row],[ Unit Price ]]*Table1[[#This Row],[ Quantity ]]*(1 -Table1[[#This Row],[ Discount ]])</f>
        <v>378</v>
      </c>
      <c r="J14" s="9" t="str">
        <f>TEXT(Table1[[#This Row],[ Date ]], "mmmm")</f>
        <v>May</v>
      </c>
      <c r="K14">
        <f>MONTH(Table1[[#This Row],[ Date ]])</f>
        <v>5</v>
      </c>
    </row>
    <row r="15" spans="1:17">
      <c r="A15" s="3">
        <v>1014</v>
      </c>
      <c r="B15" s="7">
        <v>45073</v>
      </c>
      <c r="C15" t="s">
        <v>23</v>
      </c>
      <c r="D15" t="s">
        <v>24</v>
      </c>
      <c r="E15" t="s">
        <v>17</v>
      </c>
      <c r="F15">
        <v>1</v>
      </c>
      <c r="G15">
        <v>130</v>
      </c>
      <c r="H15" s="2">
        <v>0</v>
      </c>
      <c r="I15" s="5">
        <f>Table1[[#This Row],[ Unit Price ]]*Table1[[#This Row],[ Quantity ]]*(1 -Table1[[#This Row],[ Discount ]])</f>
        <v>130</v>
      </c>
      <c r="J15" s="9" t="str">
        <f>TEXT(Table1[[#This Row],[ Date ]], "mmmm")</f>
        <v>May</v>
      </c>
      <c r="K15">
        <f>MONTH(Table1[[#This Row],[ Date ]])</f>
        <v>5</v>
      </c>
    </row>
    <row r="16" spans="1:17">
      <c r="A16" s="3">
        <v>1015</v>
      </c>
      <c r="B16" s="7">
        <v>45075</v>
      </c>
      <c r="C16" t="s">
        <v>25</v>
      </c>
      <c r="D16" t="s">
        <v>24</v>
      </c>
      <c r="E16" t="s">
        <v>19</v>
      </c>
      <c r="F16">
        <v>2</v>
      </c>
      <c r="G16">
        <v>320</v>
      </c>
      <c r="H16" s="2">
        <v>0.05</v>
      </c>
      <c r="I16" s="5">
        <f>Table1[[#This Row],[ Unit Price ]]*Table1[[#This Row],[ Quantity ]]*(1 -Table1[[#This Row],[ Discount ]])</f>
        <v>608</v>
      </c>
      <c r="J16" s="9" t="str">
        <f>TEXT(Table1[[#This Row],[ Date ]], "mmmm")</f>
        <v>May</v>
      </c>
      <c r="K16">
        <f>MONTH(Table1[[#This Row],[ Date ]])</f>
        <v>5</v>
      </c>
    </row>
    <row r="17" spans="1:11">
      <c r="A17" s="3">
        <v>1016</v>
      </c>
      <c r="B17" s="7">
        <v>45077</v>
      </c>
      <c r="C17" t="s">
        <v>26</v>
      </c>
      <c r="D17" t="s">
        <v>24</v>
      </c>
      <c r="E17" t="s">
        <v>21</v>
      </c>
      <c r="F17">
        <v>4</v>
      </c>
      <c r="G17">
        <v>35</v>
      </c>
      <c r="H17" s="2">
        <v>0</v>
      </c>
      <c r="I17" s="5">
        <f>Table1[[#This Row],[ Unit Price ]]*Table1[[#This Row],[ Quantity ]]*(1 -Table1[[#This Row],[ Discount ]])</f>
        <v>140</v>
      </c>
      <c r="J17" s="9" t="str">
        <f>TEXT(Table1[[#This Row],[ Date ]], "mmmm")</f>
        <v>May</v>
      </c>
      <c r="K17">
        <f>MONTH(Table1[[#This Row],[ Date ]])</f>
        <v>5</v>
      </c>
    </row>
    <row r="18" spans="1:11">
      <c r="A18" s="3">
        <v>1017</v>
      </c>
      <c r="B18" s="7">
        <v>45079</v>
      </c>
      <c r="C18" t="s">
        <v>13</v>
      </c>
      <c r="D18" t="s">
        <v>14</v>
      </c>
      <c r="E18" t="s">
        <v>15</v>
      </c>
      <c r="F18">
        <v>1</v>
      </c>
      <c r="G18">
        <v>880</v>
      </c>
      <c r="H18" s="2">
        <v>0.05</v>
      </c>
      <c r="I18" s="5">
        <f>Table1[[#This Row],[ Unit Price ]]*Table1[[#This Row],[ Quantity ]]*(1 -Table1[[#This Row],[ Discount ]])</f>
        <v>836</v>
      </c>
      <c r="J18" s="9" t="str">
        <f>TEXT(Table1[[#This Row],[ Date ]], "mmmm")</f>
        <v>June</v>
      </c>
      <c r="K18">
        <f>MONTH(Table1[[#This Row],[ Date ]])</f>
        <v>6</v>
      </c>
    </row>
    <row r="19" spans="1:11">
      <c r="A19" s="3">
        <v>1018</v>
      </c>
      <c r="B19" s="7">
        <v>45081</v>
      </c>
      <c r="C19" t="s">
        <v>16</v>
      </c>
      <c r="D19" t="s">
        <v>14</v>
      </c>
      <c r="E19" t="s">
        <v>17</v>
      </c>
      <c r="F19">
        <v>6</v>
      </c>
      <c r="G19">
        <v>22</v>
      </c>
      <c r="H19" s="2">
        <v>0</v>
      </c>
      <c r="I19" s="5">
        <f>Table1[[#This Row],[ Unit Price ]]*Table1[[#This Row],[ Quantity ]]*(1 -Table1[[#This Row],[ Discount ]])</f>
        <v>132</v>
      </c>
      <c r="J19" s="9" t="str">
        <f>TEXT(Table1[[#This Row],[ Date ]], "mmmm")</f>
        <v>June</v>
      </c>
      <c r="K19">
        <f>MONTH(Table1[[#This Row],[ Date ]])</f>
        <v>6</v>
      </c>
    </row>
    <row r="20" spans="1:11">
      <c r="A20" s="3">
        <v>1019</v>
      </c>
      <c r="B20" s="7">
        <v>45083</v>
      </c>
      <c r="C20" t="s">
        <v>18</v>
      </c>
      <c r="D20" t="s">
        <v>14</v>
      </c>
      <c r="E20" t="s">
        <v>19</v>
      </c>
      <c r="F20">
        <v>3</v>
      </c>
      <c r="G20">
        <v>48</v>
      </c>
      <c r="H20" s="2">
        <v>0.1</v>
      </c>
      <c r="I20" s="5">
        <f>Table1[[#This Row],[ Unit Price ]]*Table1[[#This Row],[ Quantity ]]*(1 -Table1[[#This Row],[ Discount ]])</f>
        <v>129.6</v>
      </c>
      <c r="J20" s="9" t="str">
        <f>TEXT(Table1[[#This Row],[ Date ]], "mmmm")</f>
        <v>June</v>
      </c>
      <c r="K20">
        <f>MONTH(Table1[[#This Row],[ Date ]])</f>
        <v>6</v>
      </c>
    </row>
    <row r="21" spans="1:11">
      <c r="A21" s="3">
        <v>1020</v>
      </c>
      <c r="B21" s="7">
        <v>45085</v>
      </c>
      <c r="C21" t="s">
        <v>20</v>
      </c>
      <c r="D21" t="s">
        <v>14</v>
      </c>
      <c r="E21" t="s">
        <v>21</v>
      </c>
      <c r="F21">
        <v>2</v>
      </c>
      <c r="G21">
        <v>65</v>
      </c>
      <c r="H21" s="2">
        <v>0</v>
      </c>
      <c r="I21" s="5">
        <f>Table1[[#This Row],[ Unit Price ]]*Table1[[#This Row],[ Quantity ]]*(1 -Table1[[#This Row],[ Discount ]])</f>
        <v>130</v>
      </c>
      <c r="J21" s="9" t="str">
        <f>TEXT(Table1[[#This Row],[ Date ]], "mmmm")</f>
        <v>June</v>
      </c>
      <c r="K21">
        <f>MONTH(Table1[[#This Row],[ Date ]])</f>
        <v>6</v>
      </c>
    </row>
    <row r="22" spans="1:11">
      <c r="A22" s="3">
        <v>1021</v>
      </c>
      <c r="B22" s="7">
        <v>45087</v>
      </c>
      <c r="C22" t="s">
        <v>22</v>
      </c>
      <c r="D22" t="s">
        <v>14</v>
      </c>
      <c r="E22" t="s">
        <v>15</v>
      </c>
      <c r="F22">
        <v>1</v>
      </c>
      <c r="G22">
        <v>205</v>
      </c>
      <c r="H22" s="2">
        <v>0.05</v>
      </c>
      <c r="I22" s="5">
        <f>Table1[[#This Row],[ Unit Price ]]*Table1[[#This Row],[ Quantity ]]*(1 -Table1[[#This Row],[ Discount ]])</f>
        <v>194.75</v>
      </c>
      <c r="J22" s="9" t="str">
        <f>TEXT(Table1[[#This Row],[ Date ]], "mmmm")</f>
        <v>June</v>
      </c>
      <c r="K22">
        <f>MONTH(Table1[[#This Row],[ Date ]])</f>
        <v>6</v>
      </c>
    </row>
    <row r="23" spans="1:11">
      <c r="A23" s="3">
        <v>1022</v>
      </c>
      <c r="B23" s="7">
        <v>45089</v>
      </c>
      <c r="C23" t="s">
        <v>23</v>
      </c>
      <c r="D23" t="s">
        <v>24</v>
      </c>
      <c r="E23" t="s">
        <v>17</v>
      </c>
      <c r="F23">
        <v>3</v>
      </c>
      <c r="G23">
        <v>125</v>
      </c>
      <c r="H23" s="2">
        <v>0</v>
      </c>
      <c r="I23" s="5">
        <f>Table1[[#This Row],[ Unit Price ]]*Table1[[#This Row],[ Quantity ]]*(1 -Table1[[#This Row],[ Discount ]])</f>
        <v>375</v>
      </c>
      <c r="J23" s="9" t="str">
        <f>TEXT(Table1[[#This Row],[ Date ]], "mmmm")</f>
        <v>June</v>
      </c>
      <c r="K23">
        <f>MONTH(Table1[[#This Row],[ Date ]])</f>
        <v>6</v>
      </c>
    </row>
    <row r="24" spans="1:11">
      <c r="A24" s="3">
        <v>1023</v>
      </c>
      <c r="B24" s="7">
        <v>45091</v>
      </c>
      <c r="C24" t="s">
        <v>25</v>
      </c>
      <c r="D24" t="s">
        <v>24</v>
      </c>
      <c r="E24" t="s">
        <v>19</v>
      </c>
      <c r="F24">
        <v>1</v>
      </c>
      <c r="G24">
        <v>310</v>
      </c>
      <c r="H24" s="2">
        <v>0.05</v>
      </c>
      <c r="I24" s="5">
        <f>Table1[[#This Row],[ Unit Price ]]*Table1[[#This Row],[ Quantity ]]*(1 -Table1[[#This Row],[ Discount ]])</f>
        <v>294.5</v>
      </c>
      <c r="J24" s="9" t="str">
        <f>TEXT(Table1[[#This Row],[ Date ]], "mmmm")</f>
        <v>June</v>
      </c>
      <c r="K24">
        <f>MONTH(Table1[[#This Row],[ Date ]])</f>
        <v>6</v>
      </c>
    </row>
    <row r="25" spans="1:11">
      <c r="A25" s="3">
        <v>1024</v>
      </c>
      <c r="B25" s="7">
        <v>45093</v>
      </c>
      <c r="C25" t="s">
        <v>26</v>
      </c>
      <c r="D25" t="s">
        <v>24</v>
      </c>
      <c r="E25" t="s">
        <v>21</v>
      </c>
      <c r="F25">
        <v>2</v>
      </c>
      <c r="G25">
        <v>38</v>
      </c>
      <c r="H25" s="2">
        <v>0</v>
      </c>
      <c r="I25" s="5">
        <f>Table1[[#This Row],[ Unit Price ]]*Table1[[#This Row],[ Quantity ]]*(1 -Table1[[#This Row],[ Discount ]])</f>
        <v>76</v>
      </c>
      <c r="J25" s="9" t="str">
        <f>TEXT(Table1[[#This Row],[ Date ]], "mmmm")</f>
        <v>June</v>
      </c>
      <c r="K25">
        <f>MONTH(Table1[[#This Row],[ Date ]])</f>
        <v>6</v>
      </c>
    </row>
    <row r="26" spans="1:11">
      <c r="A26" s="3">
        <v>1025</v>
      </c>
      <c r="B26" s="7">
        <v>45095</v>
      </c>
      <c r="C26" t="s">
        <v>13</v>
      </c>
      <c r="D26" t="s">
        <v>14</v>
      </c>
      <c r="E26" t="s">
        <v>15</v>
      </c>
      <c r="F26">
        <v>2</v>
      </c>
      <c r="G26">
        <v>870</v>
      </c>
      <c r="H26" s="2">
        <v>0.1</v>
      </c>
      <c r="I26" s="5">
        <f>Table1[[#This Row],[ Unit Price ]]*Table1[[#This Row],[ Quantity ]]*(1 -Table1[[#This Row],[ Discount ]])</f>
        <v>1566</v>
      </c>
      <c r="J26" s="9" t="str">
        <f>TEXT(Table1[[#This Row],[ Date ]], "mmmm")</f>
        <v>June</v>
      </c>
      <c r="K26">
        <f>MONTH(Table1[[#This Row],[ Date ]])</f>
        <v>6</v>
      </c>
    </row>
    <row r="27" spans="1:11">
      <c r="A27" s="3">
        <v>1026</v>
      </c>
      <c r="B27" s="7">
        <v>45097</v>
      </c>
      <c r="C27" t="s">
        <v>16</v>
      </c>
      <c r="D27" t="s">
        <v>14</v>
      </c>
      <c r="E27" t="s">
        <v>17</v>
      </c>
      <c r="F27">
        <v>4</v>
      </c>
      <c r="G27">
        <v>23</v>
      </c>
      <c r="H27" s="2">
        <v>0</v>
      </c>
      <c r="I27" s="5">
        <f>Table1[[#This Row],[ Unit Price ]]*Table1[[#This Row],[ Quantity ]]*(1 -Table1[[#This Row],[ Discount ]])</f>
        <v>92</v>
      </c>
      <c r="J27" s="9" t="str">
        <f>TEXT(Table1[[#This Row],[ Date ]], "mmmm")</f>
        <v>June</v>
      </c>
      <c r="K27">
        <f>MONTH(Table1[[#This Row],[ Date ]])</f>
        <v>6</v>
      </c>
    </row>
    <row r="28" spans="1:11">
      <c r="A28" s="3">
        <v>1027</v>
      </c>
      <c r="B28" s="7">
        <v>45099</v>
      </c>
      <c r="C28" t="s">
        <v>18</v>
      </c>
      <c r="D28" t="s">
        <v>14</v>
      </c>
      <c r="E28" t="s">
        <v>19</v>
      </c>
      <c r="F28">
        <v>3</v>
      </c>
      <c r="G28">
        <v>47</v>
      </c>
      <c r="H28" s="2">
        <v>0.1</v>
      </c>
      <c r="I28" s="5">
        <f>Table1[[#This Row],[ Unit Price ]]*Table1[[#This Row],[ Quantity ]]*(1 -Table1[[#This Row],[ Discount ]])</f>
        <v>126.9</v>
      </c>
      <c r="J28" s="9" t="str">
        <f>TEXT(Table1[[#This Row],[ Date ]], "mmmm")</f>
        <v>June</v>
      </c>
      <c r="K28">
        <f>MONTH(Table1[[#This Row],[ Date ]])</f>
        <v>6</v>
      </c>
    </row>
    <row r="29" spans="1:11">
      <c r="A29" s="3">
        <v>1028</v>
      </c>
      <c r="B29" s="7">
        <v>45101</v>
      </c>
      <c r="C29" t="s">
        <v>20</v>
      </c>
      <c r="D29" t="s">
        <v>14</v>
      </c>
      <c r="E29" t="s">
        <v>21</v>
      </c>
      <c r="F29">
        <v>5</v>
      </c>
      <c r="G29">
        <v>68</v>
      </c>
      <c r="H29" s="2">
        <v>0</v>
      </c>
      <c r="I29" s="5">
        <f>Table1[[#This Row],[ Unit Price ]]*Table1[[#This Row],[ Quantity ]]*(1 -Table1[[#This Row],[ Discount ]])</f>
        <v>340</v>
      </c>
      <c r="J29" s="9" t="str">
        <f>TEXT(Table1[[#This Row],[ Date ]], "mmmm")</f>
        <v>June</v>
      </c>
      <c r="K29">
        <f>MONTH(Table1[[#This Row],[ Date ]])</f>
        <v>6</v>
      </c>
    </row>
    <row r="30" spans="1:11">
      <c r="A30" s="3">
        <v>1029</v>
      </c>
      <c r="B30" s="7">
        <v>45103</v>
      </c>
      <c r="C30" t="s">
        <v>22</v>
      </c>
      <c r="D30" t="s">
        <v>14</v>
      </c>
      <c r="E30" t="s">
        <v>15</v>
      </c>
      <c r="F30">
        <v>1</v>
      </c>
      <c r="G30">
        <v>215</v>
      </c>
      <c r="H30" s="2">
        <v>0.15</v>
      </c>
      <c r="I30" s="5">
        <f>Table1[[#This Row],[ Unit Price ]]*Table1[[#This Row],[ Quantity ]]*(1 -Table1[[#This Row],[ Discount ]])</f>
        <v>182.75</v>
      </c>
      <c r="J30" s="9" t="str">
        <f>TEXT(Table1[[#This Row],[ Date ]], "mmmm")</f>
        <v>June</v>
      </c>
      <c r="K30">
        <f>MONTH(Table1[[#This Row],[ Date ]])</f>
        <v>6</v>
      </c>
    </row>
    <row r="31" spans="1:11">
      <c r="A31" s="3">
        <v>1030</v>
      </c>
      <c r="B31" s="7">
        <v>45105</v>
      </c>
      <c r="C31" t="s">
        <v>23</v>
      </c>
      <c r="D31" t="s">
        <v>24</v>
      </c>
      <c r="E31" t="s">
        <v>17</v>
      </c>
      <c r="F31">
        <v>2</v>
      </c>
      <c r="G31">
        <v>128</v>
      </c>
      <c r="H31" s="2">
        <v>0</v>
      </c>
      <c r="I31" s="5">
        <f>Table1[[#This Row],[ Unit Price ]]*Table1[[#This Row],[ Quantity ]]*(1 -Table1[[#This Row],[ Discount ]])</f>
        <v>256</v>
      </c>
      <c r="J31" s="9" t="str">
        <f>TEXT(Table1[[#This Row],[ Date ]], "mmmm")</f>
        <v>June</v>
      </c>
      <c r="K31">
        <f>MONTH(Table1[[#This Row],[ Date ]])</f>
        <v>6</v>
      </c>
    </row>
    <row r="32" spans="1:11">
      <c r="A32" s="3">
        <v>1031</v>
      </c>
      <c r="B32" s="7">
        <v>45107</v>
      </c>
      <c r="C32" t="s">
        <v>25</v>
      </c>
      <c r="D32" t="s">
        <v>24</v>
      </c>
      <c r="E32" t="s">
        <v>19</v>
      </c>
      <c r="F32">
        <v>1</v>
      </c>
      <c r="G32">
        <v>315</v>
      </c>
      <c r="H32" s="2">
        <v>0.05</v>
      </c>
      <c r="I32" s="5">
        <f>Table1[[#This Row],[ Unit Price ]]*Table1[[#This Row],[ Quantity ]]*(1 -Table1[[#This Row],[ Discount ]])</f>
        <v>299.25</v>
      </c>
      <c r="J32" s="9" t="str">
        <f>TEXT(Table1[[#This Row],[ Date ]], "mmmm")</f>
        <v>June</v>
      </c>
      <c r="K32">
        <f>MONTH(Table1[[#This Row],[ Date ]])</f>
        <v>6</v>
      </c>
    </row>
    <row r="33" spans="1:11">
      <c r="A33" s="3">
        <v>1032</v>
      </c>
      <c r="B33" s="7">
        <v>45109</v>
      </c>
      <c r="C33" t="s">
        <v>26</v>
      </c>
      <c r="D33" t="s">
        <v>24</v>
      </c>
      <c r="E33" t="s">
        <v>21</v>
      </c>
      <c r="F33">
        <v>3</v>
      </c>
      <c r="G33">
        <v>36</v>
      </c>
      <c r="H33" s="2">
        <v>0</v>
      </c>
      <c r="I33" s="5">
        <f>Table1[[#This Row],[ Unit Price ]]*Table1[[#This Row],[ Quantity ]]*(1 -Table1[[#This Row],[ Discount ]])</f>
        <v>108</v>
      </c>
      <c r="J33" s="9" t="str">
        <f>TEXT(Table1[[#This Row],[ Date ]], "mmmm")</f>
        <v>July</v>
      </c>
      <c r="K33">
        <f>MONTH(Table1[[#This Row],[ Date ]])</f>
        <v>7</v>
      </c>
    </row>
    <row r="34" spans="1:11">
      <c r="A34" s="3">
        <v>1033</v>
      </c>
      <c r="B34" s="7">
        <v>45111</v>
      </c>
      <c r="C34" t="s">
        <v>13</v>
      </c>
      <c r="D34" t="s">
        <v>14</v>
      </c>
      <c r="E34" t="s">
        <v>15</v>
      </c>
      <c r="F34">
        <v>1</v>
      </c>
      <c r="G34">
        <v>890</v>
      </c>
      <c r="H34" s="2">
        <v>0.05</v>
      </c>
      <c r="I34" s="5">
        <f>Table1[[#This Row],[ Unit Price ]]*Table1[[#This Row],[ Quantity ]]*(1 -Table1[[#This Row],[ Discount ]])</f>
        <v>845.5</v>
      </c>
      <c r="J34" s="9" t="str">
        <f>TEXT(Table1[[#This Row],[ Date ]], "mmmm")</f>
        <v>July</v>
      </c>
      <c r="K34">
        <f>MONTH(Table1[[#This Row],[ Date ]])</f>
        <v>7</v>
      </c>
    </row>
    <row r="35" spans="1:11">
      <c r="A35" s="3">
        <v>1034</v>
      </c>
      <c r="B35" s="7">
        <v>45113</v>
      </c>
      <c r="C35" t="s">
        <v>16</v>
      </c>
      <c r="D35" t="s">
        <v>14</v>
      </c>
      <c r="E35" t="s">
        <v>17</v>
      </c>
      <c r="F35">
        <v>7</v>
      </c>
      <c r="G35">
        <v>21</v>
      </c>
      <c r="H35" s="2">
        <v>0</v>
      </c>
      <c r="I35" s="5">
        <f>Table1[[#This Row],[ Unit Price ]]*Table1[[#This Row],[ Quantity ]]*(1 -Table1[[#This Row],[ Discount ]])</f>
        <v>147</v>
      </c>
      <c r="J35" s="9" t="str">
        <f>TEXT(Table1[[#This Row],[ Date ]], "mmmm")</f>
        <v>July</v>
      </c>
      <c r="K35">
        <f>MONTH(Table1[[#This Row],[ Date ]])</f>
        <v>7</v>
      </c>
    </row>
    <row r="36" spans="1:11">
      <c r="A36" s="3">
        <v>1035</v>
      </c>
      <c r="B36" s="7">
        <v>45115</v>
      </c>
      <c r="C36" t="s">
        <v>18</v>
      </c>
      <c r="D36" t="s">
        <v>14</v>
      </c>
      <c r="E36" t="s">
        <v>19</v>
      </c>
      <c r="F36">
        <v>2</v>
      </c>
      <c r="G36">
        <v>49</v>
      </c>
      <c r="H36" s="2">
        <v>0.1</v>
      </c>
      <c r="I36" s="5">
        <f>Table1[[#This Row],[ Unit Price ]]*Table1[[#This Row],[ Quantity ]]*(1 -Table1[[#This Row],[ Discount ]])</f>
        <v>88.2</v>
      </c>
      <c r="J36" s="9" t="str">
        <f>TEXT(Table1[[#This Row],[ Date ]], "mmmm")</f>
        <v>July</v>
      </c>
      <c r="K36">
        <f>MONTH(Table1[[#This Row],[ Date ]])</f>
        <v>7</v>
      </c>
    </row>
    <row r="37" spans="1:11">
      <c r="A37" s="3">
        <v>1036</v>
      </c>
      <c r="B37" s="7">
        <v>45117</v>
      </c>
      <c r="C37" t="s">
        <v>20</v>
      </c>
      <c r="D37" t="s">
        <v>14</v>
      </c>
      <c r="E37" t="s">
        <v>21</v>
      </c>
      <c r="F37">
        <v>4</v>
      </c>
      <c r="G37">
        <v>72</v>
      </c>
      <c r="H37" s="2">
        <v>0</v>
      </c>
      <c r="I37" s="5">
        <f>Table1[[#This Row],[ Unit Price ]]*Table1[[#This Row],[ Quantity ]]*(1 -Table1[[#This Row],[ Discount ]])</f>
        <v>288</v>
      </c>
      <c r="J37" s="9" t="str">
        <f>TEXT(Table1[[#This Row],[ Date ]], "mmmm")</f>
        <v>July</v>
      </c>
      <c r="K37">
        <f>MONTH(Table1[[#This Row],[ Date ]])</f>
        <v>7</v>
      </c>
    </row>
    <row r="38" spans="1:11">
      <c r="A38" s="3">
        <v>1037</v>
      </c>
      <c r="B38" s="7">
        <v>45119</v>
      </c>
      <c r="C38" t="s">
        <v>22</v>
      </c>
      <c r="D38" t="s">
        <v>14</v>
      </c>
      <c r="E38" t="s">
        <v>15</v>
      </c>
      <c r="F38">
        <v>2</v>
      </c>
      <c r="G38">
        <v>220</v>
      </c>
      <c r="H38" s="2">
        <v>0.1</v>
      </c>
      <c r="I38" s="5">
        <f>Table1[[#This Row],[ Unit Price ]]*Table1[[#This Row],[ Quantity ]]*(1 -Table1[[#This Row],[ Discount ]])</f>
        <v>396</v>
      </c>
      <c r="J38" s="9" t="str">
        <f>TEXT(Table1[[#This Row],[ Date ]], "mmmm")</f>
        <v>July</v>
      </c>
      <c r="K38">
        <f>MONTH(Table1[[#This Row],[ Date ]])</f>
        <v>7</v>
      </c>
    </row>
    <row r="39" spans="1:11">
      <c r="A39" s="3">
        <v>1038</v>
      </c>
      <c r="B39" s="7">
        <v>45121</v>
      </c>
      <c r="C39" t="s">
        <v>23</v>
      </c>
      <c r="D39" t="s">
        <v>24</v>
      </c>
      <c r="E39" t="s">
        <v>17</v>
      </c>
      <c r="F39">
        <v>1</v>
      </c>
      <c r="G39">
        <v>135</v>
      </c>
      <c r="H39" s="2">
        <v>0</v>
      </c>
      <c r="I39" s="5">
        <f>Table1[[#This Row],[ Unit Price ]]*Table1[[#This Row],[ Quantity ]]*(1 -Table1[[#This Row],[ Discount ]])</f>
        <v>135</v>
      </c>
      <c r="J39" s="9" t="str">
        <f>TEXT(Table1[[#This Row],[ Date ]], "mmmm")</f>
        <v>July</v>
      </c>
      <c r="K39">
        <f>MONTH(Table1[[#This Row],[ Date ]])</f>
        <v>7</v>
      </c>
    </row>
    <row r="40" spans="1:11">
      <c r="A40" s="3">
        <v>1039</v>
      </c>
      <c r="B40" s="7">
        <v>45123</v>
      </c>
      <c r="C40" t="s">
        <v>25</v>
      </c>
      <c r="D40" t="s">
        <v>24</v>
      </c>
      <c r="E40" t="s">
        <v>19</v>
      </c>
      <c r="F40">
        <v>2</v>
      </c>
      <c r="G40">
        <v>330</v>
      </c>
      <c r="H40" s="2">
        <v>0.05</v>
      </c>
      <c r="I40" s="5">
        <f>Table1[[#This Row],[ Unit Price ]]*Table1[[#This Row],[ Quantity ]]*(1 -Table1[[#This Row],[ Discount ]])</f>
        <v>627</v>
      </c>
      <c r="J40" s="9" t="str">
        <f>TEXT(Table1[[#This Row],[ Date ]], "mmmm")</f>
        <v>July</v>
      </c>
      <c r="K40">
        <f>MONTH(Table1[[#This Row],[ Date ]])</f>
        <v>7</v>
      </c>
    </row>
    <row r="41" spans="1:11">
      <c r="A41" s="3">
        <v>1040</v>
      </c>
      <c r="B41" s="7">
        <v>45125</v>
      </c>
      <c r="C41" t="s">
        <v>26</v>
      </c>
      <c r="D41" t="s">
        <v>24</v>
      </c>
      <c r="E41" t="s">
        <v>21</v>
      </c>
      <c r="F41">
        <v>4</v>
      </c>
      <c r="G41">
        <v>37</v>
      </c>
      <c r="H41" s="2">
        <v>0</v>
      </c>
      <c r="I41" s="5">
        <f>Table1[[#This Row],[ Unit Price ]]*Table1[[#This Row],[ Quantity ]]*(1 -Table1[[#This Row],[ Discount ]])</f>
        <v>148</v>
      </c>
      <c r="J41" s="9" t="str">
        <f>TEXT(Table1[[#This Row],[ Date ]], "mmmm")</f>
        <v>July</v>
      </c>
      <c r="K41">
        <f>MONTH(Table1[[#This Row],[ Date ]])</f>
        <v>7</v>
      </c>
    </row>
    <row r="42" spans="1:11">
      <c r="A42" s="3">
        <v>1041</v>
      </c>
      <c r="B42" s="7">
        <v>45127</v>
      </c>
      <c r="C42" t="s">
        <v>13</v>
      </c>
      <c r="D42" t="s">
        <v>14</v>
      </c>
      <c r="E42" t="s">
        <v>15</v>
      </c>
      <c r="F42">
        <v>1</v>
      </c>
      <c r="G42">
        <v>860</v>
      </c>
      <c r="H42" s="2">
        <v>0.05</v>
      </c>
      <c r="I42" s="5">
        <f>Table1[[#This Row],[ Unit Price ]]*Table1[[#This Row],[ Quantity ]]*(1 -Table1[[#This Row],[ Discount ]])</f>
        <v>817</v>
      </c>
      <c r="J42" s="9" t="str">
        <f>TEXT(Table1[[#This Row],[ Date ]], "mmmm")</f>
        <v>July</v>
      </c>
      <c r="K42">
        <f>MONTH(Table1[[#This Row],[ Date ]])</f>
        <v>7</v>
      </c>
    </row>
    <row r="43" spans="1:11">
      <c r="A43" s="3">
        <v>1042</v>
      </c>
      <c r="B43" s="7">
        <v>45129</v>
      </c>
      <c r="C43" t="s">
        <v>16</v>
      </c>
      <c r="D43" t="s">
        <v>14</v>
      </c>
      <c r="E43" t="s">
        <v>17</v>
      </c>
      <c r="F43">
        <v>8</v>
      </c>
      <c r="G43">
        <v>24</v>
      </c>
      <c r="H43" s="2">
        <v>0</v>
      </c>
      <c r="I43" s="5">
        <f>Table1[[#This Row],[ Unit Price ]]*Table1[[#This Row],[ Quantity ]]*(1 -Table1[[#This Row],[ Discount ]])</f>
        <v>192</v>
      </c>
      <c r="J43" s="9" t="str">
        <f>TEXT(Table1[[#This Row],[ Date ]], "mmmm")</f>
        <v>July</v>
      </c>
      <c r="K43">
        <f>MONTH(Table1[[#This Row],[ Date ]])</f>
        <v>7</v>
      </c>
    </row>
    <row r="44" spans="1:11">
      <c r="A44" s="3">
        <v>1043</v>
      </c>
      <c r="B44" s="7">
        <v>45131</v>
      </c>
      <c r="C44" t="s">
        <v>18</v>
      </c>
      <c r="D44" t="s">
        <v>14</v>
      </c>
      <c r="E44" t="s">
        <v>19</v>
      </c>
      <c r="F44">
        <v>3</v>
      </c>
      <c r="G44">
        <v>46</v>
      </c>
      <c r="H44" s="2">
        <v>0.1</v>
      </c>
      <c r="I44" s="5">
        <f>Table1[[#This Row],[ Unit Price ]]*Table1[[#This Row],[ Quantity ]]*(1 -Table1[[#This Row],[ Discount ]])</f>
        <v>124.2</v>
      </c>
      <c r="J44" s="9" t="str">
        <f>TEXT(Table1[[#This Row],[ Date ]], "mmmm")</f>
        <v>July</v>
      </c>
      <c r="K44">
        <f>MONTH(Table1[[#This Row],[ Date ]])</f>
        <v>7</v>
      </c>
    </row>
    <row r="45" spans="1:11">
      <c r="A45" s="3">
        <v>1044</v>
      </c>
      <c r="B45" s="7">
        <v>45133</v>
      </c>
      <c r="C45" t="s">
        <v>20</v>
      </c>
      <c r="D45" t="s">
        <v>14</v>
      </c>
      <c r="E45" t="s">
        <v>21</v>
      </c>
      <c r="F45">
        <v>2</v>
      </c>
      <c r="G45">
        <v>69</v>
      </c>
      <c r="H45" s="2">
        <v>0</v>
      </c>
      <c r="I45" s="5">
        <f>Table1[[#This Row],[ Unit Price ]]*Table1[[#This Row],[ Quantity ]]*(1 -Table1[[#This Row],[ Discount ]])</f>
        <v>138</v>
      </c>
      <c r="J45" s="9" t="str">
        <f>TEXT(Table1[[#This Row],[ Date ]], "mmmm")</f>
        <v>July</v>
      </c>
      <c r="K45">
        <f>MONTH(Table1[[#This Row],[ Date ]])</f>
        <v>7</v>
      </c>
    </row>
    <row r="46" spans="1:11">
      <c r="A46" s="3">
        <v>1045</v>
      </c>
      <c r="B46" s="7">
        <v>45135</v>
      </c>
      <c r="C46" t="s">
        <v>22</v>
      </c>
      <c r="D46" t="s">
        <v>14</v>
      </c>
      <c r="E46" t="s">
        <v>15</v>
      </c>
      <c r="F46">
        <v>1</v>
      </c>
      <c r="G46">
        <v>225</v>
      </c>
      <c r="H46" s="2">
        <v>0.15</v>
      </c>
      <c r="I46" s="5">
        <f>Table1[[#This Row],[ Unit Price ]]*Table1[[#This Row],[ Quantity ]]*(1 -Table1[[#This Row],[ Discount ]])</f>
        <v>191.25</v>
      </c>
      <c r="J46" s="9" t="str">
        <f>TEXT(Table1[[#This Row],[ Date ]], "mmmm")</f>
        <v>July</v>
      </c>
      <c r="K46">
        <f>MONTH(Table1[[#This Row],[ Date ]])</f>
        <v>7</v>
      </c>
    </row>
    <row r="47" spans="1:11">
      <c r="A47" s="3">
        <v>1046</v>
      </c>
      <c r="B47" s="7">
        <v>45137</v>
      </c>
      <c r="C47" t="s">
        <v>23</v>
      </c>
      <c r="D47" t="s">
        <v>24</v>
      </c>
      <c r="E47" t="s">
        <v>17</v>
      </c>
      <c r="F47">
        <v>2</v>
      </c>
      <c r="G47">
        <v>140</v>
      </c>
      <c r="H47" s="2">
        <v>0</v>
      </c>
      <c r="I47" s="5">
        <f>Table1[[#This Row],[ Unit Price ]]*Table1[[#This Row],[ Quantity ]]*(1 -Table1[[#This Row],[ Discount ]])</f>
        <v>280</v>
      </c>
      <c r="J47" s="9" t="str">
        <f>TEXT(Table1[[#This Row],[ Date ]], "mmmm")</f>
        <v>July</v>
      </c>
      <c r="K47">
        <f>MONTH(Table1[[#This Row],[ Date ]])</f>
        <v>7</v>
      </c>
    </row>
    <row r="48" spans="1:11">
      <c r="A48" s="3">
        <v>1047</v>
      </c>
      <c r="B48" s="7">
        <v>45139</v>
      </c>
      <c r="C48" t="s">
        <v>25</v>
      </c>
      <c r="D48" t="s">
        <v>24</v>
      </c>
      <c r="E48" t="s">
        <v>19</v>
      </c>
      <c r="F48">
        <v>1</v>
      </c>
      <c r="G48">
        <v>340</v>
      </c>
      <c r="H48" s="2">
        <v>0.05</v>
      </c>
      <c r="I48" s="5">
        <f>Table1[[#This Row],[ Unit Price ]]*Table1[[#This Row],[ Quantity ]]*(1 -Table1[[#This Row],[ Discount ]])</f>
        <v>323</v>
      </c>
      <c r="J48" s="9" t="str">
        <f>TEXT(Table1[[#This Row],[ Date ]], "mmmm")</f>
        <v>August</v>
      </c>
      <c r="K48">
        <f>MONTH(Table1[[#This Row],[ Date ]])</f>
        <v>8</v>
      </c>
    </row>
    <row r="49" spans="1:11">
      <c r="A49" s="3">
        <v>1048</v>
      </c>
      <c r="B49" s="7">
        <v>45141</v>
      </c>
      <c r="C49" t="s">
        <v>26</v>
      </c>
      <c r="D49" t="s">
        <v>24</v>
      </c>
      <c r="E49" t="s">
        <v>21</v>
      </c>
      <c r="F49">
        <v>3</v>
      </c>
      <c r="G49">
        <v>39</v>
      </c>
      <c r="H49" s="2">
        <v>0</v>
      </c>
      <c r="I49" s="5">
        <f>Table1[[#This Row],[ Unit Price ]]*Table1[[#This Row],[ Quantity ]]*(1 -Table1[[#This Row],[ Discount ]])</f>
        <v>117</v>
      </c>
      <c r="J49" s="9" t="str">
        <f>TEXT(Table1[[#This Row],[ Date ]], "mmmm")</f>
        <v>August</v>
      </c>
      <c r="K49">
        <f>MONTH(Table1[[#This Row],[ Date ]])</f>
        <v>8</v>
      </c>
    </row>
    <row r="50" spans="1:11">
      <c r="A50" s="3">
        <v>1049</v>
      </c>
      <c r="B50" s="7">
        <v>45143</v>
      </c>
      <c r="C50" t="s">
        <v>13</v>
      </c>
      <c r="D50" t="s">
        <v>14</v>
      </c>
      <c r="E50" t="s">
        <v>15</v>
      </c>
      <c r="F50">
        <v>2</v>
      </c>
      <c r="G50">
        <v>900</v>
      </c>
      <c r="H50" s="2">
        <v>0.1</v>
      </c>
      <c r="I50" s="5">
        <f>Table1[[#This Row],[ Unit Price ]]*Table1[[#This Row],[ Quantity ]]*(1 -Table1[[#This Row],[ Discount ]])</f>
        <v>1620</v>
      </c>
      <c r="J50" s="9" t="str">
        <f>TEXT(Table1[[#This Row],[ Date ]], "mmmm")</f>
        <v>August</v>
      </c>
      <c r="K50">
        <f>MONTH(Table1[[#This Row],[ Date ]])</f>
        <v>8</v>
      </c>
    </row>
    <row r="51" spans="1:11">
      <c r="A51" s="3">
        <v>1050</v>
      </c>
      <c r="B51" s="7">
        <v>45145</v>
      </c>
      <c r="C51" t="s">
        <v>16</v>
      </c>
      <c r="D51" t="s">
        <v>14</v>
      </c>
      <c r="E51" t="s">
        <v>17</v>
      </c>
      <c r="F51">
        <v>5</v>
      </c>
      <c r="G51">
        <v>26</v>
      </c>
      <c r="H51" s="2">
        <v>0</v>
      </c>
      <c r="I51" s="5">
        <f>Table1[[#This Row],[ Unit Price ]]*Table1[[#This Row],[ Quantity ]]*(1 -Table1[[#This Row],[ Discount ]])</f>
        <v>130</v>
      </c>
      <c r="J51" s="9" t="str">
        <f>TEXT(Table1[[#This Row],[ Date ]], "mmmm")</f>
        <v>August</v>
      </c>
      <c r="K51">
        <f>MONTH(Table1[[#This Row],[ Date ]])</f>
        <v>8</v>
      </c>
    </row>
    <row r="52" spans="1:11">
      <c r="A52" s="3">
        <v>1051</v>
      </c>
      <c r="B52" s="7">
        <v>45147</v>
      </c>
      <c r="C52" t="s">
        <v>18</v>
      </c>
      <c r="D52" t="s">
        <v>14</v>
      </c>
      <c r="E52" t="s">
        <v>19</v>
      </c>
      <c r="F52">
        <v>3</v>
      </c>
      <c r="G52">
        <v>45</v>
      </c>
      <c r="H52" s="2">
        <v>0.1</v>
      </c>
      <c r="I52" s="5">
        <f>Table1[[#This Row],[ Unit Price ]]*Table1[[#This Row],[ Quantity ]]*(1 -Table1[[#This Row],[ Discount ]])</f>
        <v>121.5</v>
      </c>
      <c r="J52" s="9" t="str">
        <f>TEXT(Table1[[#This Row],[ Date ]], "mmmm")</f>
        <v>August</v>
      </c>
      <c r="K52">
        <f>MONTH(Table1[[#This Row],[ Date ]])</f>
        <v>8</v>
      </c>
    </row>
    <row r="53" spans="1:11">
      <c r="A53" s="3">
        <v>1052</v>
      </c>
      <c r="B53" s="7">
        <v>45149</v>
      </c>
      <c r="C53" t="s">
        <v>20</v>
      </c>
      <c r="D53" t="s">
        <v>14</v>
      </c>
      <c r="E53" t="s">
        <v>21</v>
      </c>
      <c r="F53">
        <v>4</v>
      </c>
      <c r="G53">
        <v>75</v>
      </c>
      <c r="H53" s="2">
        <v>0</v>
      </c>
      <c r="I53" s="5">
        <f>Table1[[#This Row],[ Unit Price ]]*Table1[[#This Row],[ Quantity ]]*(1 -Table1[[#This Row],[ Discount ]])</f>
        <v>300</v>
      </c>
      <c r="J53" s="9" t="str">
        <f>TEXT(Table1[[#This Row],[ Date ]], "mmmm")</f>
        <v>August</v>
      </c>
      <c r="K53">
        <f>MONTH(Table1[[#This Row],[ Date ]])</f>
        <v>8</v>
      </c>
    </row>
    <row r="54" spans="1:11">
      <c r="A54" s="3">
        <v>1053</v>
      </c>
      <c r="B54" s="7">
        <v>45151</v>
      </c>
      <c r="C54" t="s">
        <v>22</v>
      </c>
      <c r="D54" t="s">
        <v>14</v>
      </c>
      <c r="E54" t="s">
        <v>15</v>
      </c>
      <c r="F54">
        <v>1</v>
      </c>
      <c r="G54">
        <v>230</v>
      </c>
      <c r="H54" s="2">
        <v>0.05</v>
      </c>
      <c r="I54" s="5">
        <f>Table1[[#This Row],[ Unit Price ]]*Table1[[#This Row],[ Quantity ]]*(1 -Table1[[#This Row],[ Discount ]])</f>
        <v>218.5</v>
      </c>
      <c r="J54" s="9" t="str">
        <f>TEXT(Table1[[#This Row],[ Date ]], "mmmm")</f>
        <v>August</v>
      </c>
      <c r="K54">
        <f>MONTH(Table1[[#This Row],[ Date ]])</f>
        <v>8</v>
      </c>
    </row>
    <row r="55" spans="1:11">
      <c r="A55" s="3">
        <v>1054</v>
      </c>
      <c r="B55" s="7">
        <v>45153</v>
      </c>
      <c r="C55" t="s">
        <v>23</v>
      </c>
      <c r="D55" t="s">
        <v>24</v>
      </c>
      <c r="E55" t="s">
        <v>17</v>
      </c>
      <c r="F55">
        <v>2</v>
      </c>
      <c r="G55">
        <v>150</v>
      </c>
      <c r="H55" s="2">
        <v>0</v>
      </c>
      <c r="I55" s="5">
        <f>Table1[[#This Row],[ Unit Price ]]*Table1[[#This Row],[ Quantity ]]*(1 -Table1[[#This Row],[ Discount ]])</f>
        <v>300</v>
      </c>
      <c r="J55" s="9" t="str">
        <f>TEXT(Table1[[#This Row],[ Date ]], "mmmm")</f>
        <v>August</v>
      </c>
      <c r="K55">
        <f>MONTH(Table1[[#This Row],[ Date ]])</f>
        <v>8</v>
      </c>
    </row>
    <row r="56" spans="1:11">
      <c r="A56" s="3">
        <v>1055</v>
      </c>
      <c r="B56" s="7">
        <v>45155</v>
      </c>
      <c r="C56" t="s">
        <v>25</v>
      </c>
      <c r="D56" t="s">
        <v>24</v>
      </c>
      <c r="E56" t="s">
        <v>19</v>
      </c>
      <c r="F56">
        <v>1</v>
      </c>
      <c r="G56">
        <v>350</v>
      </c>
      <c r="H56" s="2">
        <v>0.05</v>
      </c>
      <c r="I56" s="5">
        <f>Table1[[#This Row],[ Unit Price ]]*Table1[[#This Row],[ Quantity ]]*(1 -Table1[[#This Row],[ Discount ]])</f>
        <v>332.5</v>
      </c>
      <c r="J56" s="9" t="str">
        <f>TEXT(Table1[[#This Row],[ Date ]], "mmmm")</f>
        <v>August</v>
      </c>
      <c r="K56">
        <f>MONTH(Table1[[#This Row],[ Date ]])</f>
        <v>8</v>
      </c>
    </row>
    <row r="57" spans="1:11">
      <c r="A57" s="3">
        <v>1056</v>
      </c>
      <c r="B57" s="7">
        <v>45157</v>
      </c>
      <c r="C57" t="s">
        <v>26</v>
      </c>
      <c r="D57" t="s">
        <v>24</v>
      </c>
      <c r="E57" t="s">
        <v>21</v>
      </c>
      <c r="F57">
        <v>4</v>
      </c>
      <c r="G57">
        <v>41</v>
      </c>
      <c r="H57" s="2">
        <v>0</v>
      </c>
      <c r="I57" s="5">
        <f>Table1[[#This Row],[ Unit Price ]]*Table1[[#This Row],[ Quantity ]]*(1 -Table1[[#This Row],[ Discount ]])</f>
        <v>164</v>
      </c>
      <c r="J57" s="9" t="str">
        <f>TEXT(Table1[[#This Row],[ Date ]], "mmmm")</f>
        <v>August</v>
      </c>
      <c r="K57">
        <f>MONTH(Table1[[#This Row],[ Date ]])</f>
        <v>8</v>
      </c>
    </row>
    <row r="58" spans="1:11">
      <c r="A58" s="3">
        <v>1057</v>
      </c>
      <c r="B58" s="7">
        <v>45159</v>
      </c>
      <c r="C58" t="s">
        <v>13</v>
      </c>
      <c r="D58" t="s">
        <v>14</v>
      </c>
      <c r="E58" t="s">
        <v>15</v>
      </c>
      <c r="F58">
        <v>1</v>
      </c>
      <c r="G58">
        <v>920</v>
      </c>
      <c r="H58" s="2">
        <v>0.05</v>
      </c>
      <c r="I58" s="5">
        <f>Table1[[#This Row],[ Unit Price ]]*Table1[[#This Row],[ Quantity ]]*(1 -Table1[[#This Row],[ Discount ]])</f>
        <v>874</v>
      </c>
      <c r="J58" s="9" t="str">
        <f>TEXT(Table1[[#This Row],[ Date ]], "mmmm")</f>
        <v>August</v>
      </c>
      <c r="K58">
        <f>MONTH(Table1[[#This Row],[ Date ]])</f>
        <v>8</v>
      </c>
    </row>
    <row r="59" spans="1:11">
      <c r="A59" s="3">
        <v>1058</v>
      </c>
      <c r="B59" s="7">
        <v>45161</v>
      </c>
      <c r="C59" t="s">
        <v>16</v>
      </c>
      <c r="D59" t="s">
        <v>14</v>
      </c>
      <c r="E59" t="s">
        <v>17</v>
      </c>
      <c r="F59">
        <v>6</v>
      </c>
      <c r="G59">
        <v>27</v>
      </c>
      <c r="H59" s="2">
        <v>0</v>
      </c>
      <c r="I59" s="5">
        <f>Table1[[#This Row],[ Unit Price ]]*Table1[[#This Row],[ Quantity ]]*(1 -Table1[[#This Row],[ Discount ]])</f>
        <v>162</v>
      </c>
      <c r="J59" s="9" t="str">
        <f>TEXT(Table1[[#This Row],[ Date ]], "mmmm")</f>
        <v>August</v>
      </c>
      <c r="K59">
        <f>MONTH(Table1[[#This Row],[ Date ]])</f>
        <v>8</v>
      </c>
    </row>
    <row r="60" spans="1:11">
      <c r="A60" s="3">
        <v>1059</v>
      </c>
      <c r="B60" s="7">
        <v>45163</v>
      </c>
      <c r="C60" t="s">
        <v>18</v>
      </c>
      <c r="D60" t="s">
        <v>14</v>
      </c>
      <c r="E60" t="s">
        <v>19</v>
      </c>
      <c r="F60">
        <v>3</v>
      </c>
      <c r="G60">
        <v>50</v>
      </c>
      <c r="H60" s="2">
        <v>0.1</v>
      </c>
      <c r="I60" s="5">
        <f>Table1[[#This Row],[ Unit Price ]]*Table1[[#This Row],[ Quantity ]]*(1 -Table1[[#This Row],[ Discount ]])</f>
        <v>135</v>
      </c>
      <c r="J60" s="9" t="str">
        <f>TEXT(Table1[[#This Row],[ Date ]], "mmmm")</f>
        <v>August</v>
      </c>
      <c r="K60">
        <f>MONTH(Table1[[#This Row],[ Date ]])</f>
        <v>8</v>
      </c>
    </row>
    <row r="61" spans="1:11">
      <c r="A61" s="3">
        <v>1060</v>
      </c>
      <c r="B61" s="7">
        <v>45165</v>
      </c>
      <c r="C61" t="s">
        <v>20</v>
      </c>
      <c r="D61" t="s">
        <v>14</v>
      </c>
      <c r="E61" t="s">
        <v>21</v>
      </c>
      <c r="F61">
        <v>2</v>
      </c>
      <c r="G61">
        <v>80</v>
      </c>
      <c r="H61" s="2">
        <v>0</v>
      </c>
      <c r="I61" s="5">
        <f>Table1[[#This Row],[ Unit Price ]]*Table1[[#This Row],[ Quantity ]]*(1 -Table1[[#This Row],[ Discount ]])</f>
        <v>160</v>
      </c>
      <c r="J61" s="9" t="str">
        <f>TEXT(Table1[[#This Row],[ Date ]], "mmmm")</f>
        <v>August</v>
      </c>
      <c r="K61">
        <f>MONTH(Table1[[#This Row],[ Date ]])</f>
        <v>8</v>
      </c>
    </row>
    <row r="62" spans="1:11">
      <c r="A62" s="3">
        <v>1061</v>
      </c>
      <c r="B62" s="7">
        <v>45167</v>
      </c>
      <c r="C62" t="s">
        <v>22</v>
      </c>
      <c r="D62" t="s">
        <v>14</v>
      </c>
      <c r="E62" t="s">
        <v>15</v>
      </c>
      <c r="F62">
        <v>1</v>
      </c>
      <c r="G62">
        <v>240</v>
      </c>
      <c r="H62" s="2">
        <v>0.1</v>
      </c>
      <c r="I62" s="5">
        <f>Table1[[#This Row],[ Unit Price ]]*Table1[[#This Row],[ Quantity ]]*(1 -Table1[[#This Row],[ Discount ]])</f>
        <v>216</v>
      </c>
      <c r="J62" s="9" t="str">
        <f>TEXT(Table1[[#This Row],[ Date ]], "mmmm")</f>
        <v>August</v>
      </c>
      <c r="K62">
        <f>MONTH(Table1[[#This Row],[ Date ]])</f>
        <v>8</v>
      </c>
    </row>
    <row r="63" spans="1:11">
      <c r="A63" s="3">
        <v>1062</v>
      </c>
      <c r="B63" s="7">
        <v>45169</v>
      </c>
      <c r="C63" t="s">
        <v>23</v>
      </c>
      <c r="D63" t="s">
        <v>24</v>
      </c>
      <c r="E63" t="s">
        <v>17</v>
      </c>
      <c r="F63">
        <v>3</v>
      </c>
      <c r="G63">
        <v>155</v>
      </c>
      <c r="H63" s="2">
        <v>0</v>
      </c>
      <c r="I63" s="5">
        <f>Table1[[#This Row],[ Unit Price ]]*Table1[[#This Row],[ Quantity ]]*(1 -Table1[[#This Row],[ Discount ]])</f>
        <v>465</v>
      </c>
      <c r="J63" s="9" t="str">
        <f>TEXT(Table1[[#This Row],[ Date ]], "mmmm")</f>
        <v>August</v>
      </c>
      <c r="K63">
        <f>MONTH(Table1[[#This Row],[ Date ]])</f>
        <v>8</v>
      </c>
    </row>
    <row r="64" spans="1:11">
      <c r="A64" s="3">
        <v>1063</v>
      </c>
      <c r="B64" s="7">
        <v>45171</v>
      </c>
      <c r="C64" t="s">
        <v>25</v>
      </c>
      <c r="D64" t="s">
        <v>24</v>
      </c>
      <c r="E64" t="s">
        <v>19</v>
      </c>
      <c r="F64">
        <v>1</v>
      </c>
      <c r="G64">
        <v>360</v>
      </c>
      <c r="H64" s="2">
        <v>0.05</v>
      </c>
      <c r="I64" s="5">
        <f>Table1[[#This Row],[ Unit Price ]]*Table1[[#This Row],[ Quantity ]]*(1 -Table1[[#This Row],[ Discount ]])</f>
        <v>342</v>
      </c>
      <c r="J64" s="9" t="str">
        <f>TEXT(Table1[[#This Row],[ Date ]], "mmmm")</f>
        <v>September</v>
      </c>
      <c r="K64">
        <f>MONTH(Table1[[#This Row],[ Date ]])</f>
        <v>9</v>
      </c>
    </row>
    <row r="65" spans="1:11">
      <c r="A65" s="3">
        <v>1064</v>
      </c>
      <c r="B65" s="7">
        <v>45173</v>
      </c>
      <c r="C65" t="s">
        <v>26</v>
      </c>
      <c r="D65" t="s">
        <v>24</v>
      </c>
      <c r="E65" t="s">
        <v>21</v>
      </c>
      <c r="F65">
        <v>3</v>
      </c>
      <c r="G65">
        <v>42</v>
      </c>
      <c r="H65" s="2">
        <v>0</v>
      </c>
      <c r="I65" s="5">
        <f>Table1[[#This Row],[ Unit Price ]]*Table1[[#This Row],[ Quantity ]]*(1 -Table1[[#This Row],[ Discount ]])</f>
        <v>126</v>
      </c>
      <c r="J65" s="9" t="str">
        <f>TEXT(Table1[[#This Row],[ Date ]], "mmmm")</f>
        <v>September</v>
      </c>
      <c r="K65">
        <f>MONTH(Table1[[#This Row],[ Date ]])</f>
        <v>9</v>
      </c>
    </row>
    <row r="66" spans="1:11">
      <c r="A66" s="3">
        <v>1065</v>
      </c>
      <c r="B66" s="7">
        <v>45175</v>
      </c>
      <c r="C66" t="s">
        <v>13</v>
      </c>
      <c r="D66" t="s">
        <v>14</v>
      </c>
      <c r="E66" t="s">
        <v>15</v>
      </c>
      <c r="F66">
        <v>2</v>
      </c>
      <c r="G66">
        <v>910</v>
      </c>
      <c r="H66" s="2">
        <v>0.1</v>
      </c>
      <c r="I66" s="5">
        <f>Table1[[#This Row],[ Unit Price ]]*Table1[[#This Row],[ Quantity ]]*(1 -Table1[[#This Row],[ Discount ]])</f>
        <v>1638</v>
      </c>
      <c r="J66" s="9" t="str">
        <f>TEXT(Table1[[#This Row],[ Date ]], "mmmm")</f>
        <v>September</v>
      </c>
      <c r="K66">
        <f>MONTH(Table1[[#This Row],[ Date ]])</f>
        <v>9</v>
      </c>
    </row>
    <row r="67" spans="1:11">
      <c r="A67" s="3">
        <v>1066</v>
      </c>
      <c r="B67" s="7">
        <v>45177</v>
      </c>
      <c r="C67" t="s">
        <v>16</v>
      </c>
      <c r="D67" t="s">
        <v>14</v>
      </c>
      <c r="E67" t="s">
        <v>17</v>
      </c>
      <c r="F67">
        <v>4</v>
      </c>
      <c r="G67">
        <v>28</v>
      </c>
      <c r="H67" s="2">
        <v>0</v>
      </c>
      <c r="I67" s="5">
        <f>Table1[[#This Row],[ Unit Price ]]*Table1[[#This Row],[ Quantity ]]*(1 -Table1[[#This Row],[ Discount ]])</f>
        <v>112</v>
      </c>
      <c r="J67" s="9" t="str">
        <f>TEXT(Table1[[#This Row],[ Date ]], "mmmm")</f>
        <v>September</v>
      </c>
      <c r="K67">
        <f>MONTH(Table1[[#This Row],[ Date ]])</f>
        <v>9</v>
      </c>
    </row>
    <row r="68" spans="1:11">
      <c r="A68" s="3">
        <v>1067</v>
      </c>
      <c r="B68" s="7">
        <v>45179</v>
      </c>
      <c r="C68" t="s">
        <v>18</v>
      </c>
      <c r="D68" t="s">
        <v>14</v>
      </c>
      <c r="E68" t="s">
        <v>19</v>
      </c>
      <c r="F68">
        <v>3</v>
      </c>
      <c r="G68">
        <v>52</v>
      </c>
      <c r="H68" s="2">
        <v>0.1</v>
      </c>
      <c r="I68" s="5">
        <f>Table1[[#This Row],[ Unit Price ]]*Table1[[#This Row],[ Quantity ]]*(1 -Table1[[#This Row],[ Discount ]])</f>
        <v>140.4</v>
      </c>
      <c r="J68" s="9" t="str">
        <f>TEXT(Table1[[#This Row],[ Date ]], "mmmm")</f>
        <v>September</v>
      </c>
      <c r="K68">
        <f>MONTH(Table1[[#This Row],[ Date ]])</f>
        <v>9</v>
      </c>
    </row>
    <row r="69" spans="1:11">
      <c r="A69" s="3">
        <v>1068</v>
      </c>
      <c r="B69" s="7">
        <v>45181</v>
      </c>
      <c r="C69" t="s">
        <v>20</v>
      </c>
      <c r="D69" t="s">
        <v>14</v>
      </c>
      <c r="E69" t="s">
        <v>21</v>
      </c>
      <c r="F69">
        <v>5</v>
      </c>
      <c r="G69">
        <v>78</v>
      </c>
      <c r="H69" s="2">
        <v>0</v>
      </c>
      <c r="I69" s="5">
        <f>Table1[[#This Row],[ Unit Price ]]*Table1[[#This Row],[ Quantity ]]*(1 -Table1[[#This Row],[ Discount ]])</f>
        <v>390</v>
      </c>
      <c r="J69" s="9" t="str">
        <f>TEXT(Table1[[#This Row],[ Date ]], "mmmm")</f>
        <v>September</v>
      </c>
      <c r="K69">
        <f>MONTH(Table1[[#This Row],[ Date ]])</f>
        <v>9</v>
      </c>
    </row>
    <row r="70" spans="1:11">
      <c r="A70" s="3">
        <v>1069</v>
      </c>
      <c r="B70" s="7">
        <v>45183</v>
      </c>
      <c r="C70" t="s">
        <v>22</v>
      </c>
      <c r="D70" t="s">
        <v>14</v>
      </c>
      <c r="E70" t="s">
        <v>15</v>
      </c>
      <c r="F70">
        <v>1</v>
      </c>
      <c r="G70">
        <v>250</v>
      </c>
      <c r="H70" s="2">
        <v>0.15</v>
      </c>
      <c r="I70" s="5">
        <f>Table1[[#This Row],[ Unit Price ]]*Table1[[#This Row],[ Quantity ]]*(1 -Table1[[#This Row],[ Discount ]])</f>
        <v>212.5</v>
      </c>
      <c r="J70" s="9" t="str">
        <f>TEXT(Table1[[#This Row],[ Date ]], "mmmm")</f>
        <v>September</v>
      </c>
      <c r="K70">
        <f>MONTH(Table1[[#This Row],[ Date ]])</f>
        <v>9</v>
      </c>
    </row>
    <row r="71" spans="1:11">
      <c r="A71" s="3">
        <v>1070</v>
      </c>
      <c r="B71" s="7">
        <v>45185</v>
      </c>
      <c r="C71" t="s">
        <v>23</v>
      </c>
      <c r="D71" t="s">
        <v>24</v>
      </c>
      <c r="E71" t="s">
        <v>17</v>
      </c>
      <c r="F71">
        <v>2</v>
      </c>
      <c r="G71">
        <v>160</v>
      </c>
      <c r="H71" s="2">
        <v>0</v>
      </c>
      <c r="I71" s="5">
        <f>Table1[[#This Row],[ Unit Price ]]*Table1[[#This Row],[ Quantity ]]*(1 -Table1[[#This Row],[ Discount ]])</f>
        <v>320</v>
      </c>
      <c r="J71" s="9" t="str">
        <f>TEXT(Table1[[#This Row],[ Date ]], "mmmm")</f>
        <v>September</v>
      </c>
      <c r="K71">
        <f>MONTH(Table1[[#This Row],[ Date ]])</f>
        <v>9</v>
      </c>
    </row>
    <row r="72" spans="1:11">
      <c r="A72" s="3">
        <v>1071</v>
      </c>
      <c r="B72" s="7">
        <v>45187</v>
      </c>
      <c r="C72" t="s">
        <v>25</v>
      </c>
      <c r="D72" t="s">
        <v>24</v>
      </c>
      <c r="E72" t="s">
        <v>19</v>
      </c>
      <c r="F72">
        <v>1</v>
      </c>
      <c r="G72">
        <v>370</v>
      </c>
      <c r="H72" s="2">
        <v>0.05</v>
      </c>
      <c r="I72" s="5">
        <f>Table1[[#This Row],[ Unit Price ]]*Table1[[#This Row],[ Quantity ]]*(1 -Table1[[#This Row],[ Discount ]])</f>
        <v>351.5</v>
      </c>
      <c r="J72" s="9" t="str">
        <f>TEXT(Table1[[#This Row],[ Date ]], "mmmm")</f>
        <v>September</v>
      </c>
      <c r="K72">
        <f>MONTH(Table1[[#This Row],[ Date ]])</f>
        <v>9</v>
      </c>
    </row>
    <row r="73" spans="1:11">
      <c r="A73" s="3">
        <v>1072</v>
      </c>
      <c r="B73" s="7">
        <v>45189</v>
      </c>
      <c r="C73" t="s">
        <v>26</v>
      </c>
      <c r="D73" t="s">
        <v>24</v>
      </c>
      <c r="E73" t="s">
        <v>21</v>
      </c>
      <c r="F73">
        <v>4</v>
      </c>
      <c r="G73">
        <v>43</v>
      </c>
      <c r="H73" s="2">
        <v>0</v>
      </c>
      <c r="I73" s="5">
        <f>Table1[[#This Row],[ Unit Price ]]*Table1[[#This Row],[ Quantity ]]*(1 -Table1[[#This Row],[ Discount ]])</f>
        <v>172</v>
      </c>
      <c r="J73" s="9" t="str">
        <f>TEXT(Table1[[#This Row],[ Date ]], "mmmm")</f>
        <v>September</v>
      </c>
      <c r="K73">
        <f>MONTH(Table1[[#This Row],[ Date ]])</f>
        <v>9</v>
      </c>
    </row>
    <row r="74" spans="1:11">
      <c r="A74" s="3">
        <v>1073</v>
      </c>
      <c r="B74" s="7">
        <v>45191</v>
      </c>
      <c r="C74" t="s">
        <v>13</v>
      </c>
      <c r="D74" t="s">
        <v>14</v>
      </c>
      <c r="E74" t="s">
        <v>15</v>
      </c>
      <c r="F74">
        <v>1</v>
      </c>
      <c r="G74">
        <v>930</v>
      </c>
      <c r="H74" s="2">
        <v>0.05</v>
      </c>
      <c r="I74" s="5">
        <f>Table1[[#This Row],[ Unit Price ]]*Table1[[#This Row],[ Quantity ]]*(1 -Table1[[#This Row],[ Discount ]])</f>
        <v>883.5</v>
      </c>
      <c r="J74" s="9" t="str">
        <f>TEXT(Table1[[#This Row],[ Date ]], "mmmm")</f>
        <v>September</v>
      </c>
      <c r="K74">
        <f>MONTH(Table1[[#This Row],[ Date ]])</f>
        <v>9</v>
      </c>
    </row>
    <row r="75" spans="1:11">
      <c r="A75" s="3">
        <v>1074</v>
      </c>
      <c r="B75" s="7">
        <v>45193</v>
      </c>
      <c r="C75" t="s">
        <v>16</v>
      </c>
      <c r="D75" t="s">
        <v>14</v>
      </c>
      <c r="E75" t="s">
        <v>17</v>
      </c>
      <c r="F75">
        <v>7</v>
      </c>
      <c r="G75">
        <v>29</v>
      </c>
      <c r="H75" s="2">
        <v>0</v>
      </c>
      <c r="I75" s="5">
        <f>Table1[[#This Row],[ Unit Price ]]*Table1[[#This Row],[ Quantity ]]*(1 -Table1[[#This Row],[ Discount ]])</f>
        <v>203</v>
      </c>
      <c r="J75" s="9" t="str">
        <f>TEXT(Table1[[#This Row],[ Date ]], "mmmm")</f>
        <v>September</v>
      </c>
      <c r="K75">
        <f>MONTH(Table1[[#This Row],[ Date ]])</f>
        <v>9</v>
      </c>
    </row>
    <row r="76" spans="1:11">
      <c r="A76" s="3">
        <v>1075</v>
      </c>
      <c r="B76" s="7">
        <v>45195</v>
      </c>
      <c r="C76" t="s">
        <v>18</v>
      </c>
      <c r="D76" t="s">
        <v>14</v>
      </c>
      <c r="E76" t="s">
        <v>19</v>
      </c>
      <c r="F76">
        <v>2</v>
      </c>
      <c r="G76">
        <v>53</v>
      </c>
      <c r="H76" s="2">
        <v>0.1</v>
      </c>
      <c r="I76" s="5">
        <f>Table1[[#This Row],[ Unit Price ]]*Table1[[#This Row],[ Quantity ]]*(1 -Table1[[#This Row],[ Discount ]])</f>
        <v>95.4</v>
      </c>
      <c r="J76" s="9" t="str">
        <f>TEXT(Table1[[#This Row],[ Date ]], "mmmm")</f>
        <v>September</v>
      </c>
      <c r="K76">
        <f>MONTH(Table1[[#This Row],[ Date ]])</f>
        <v>9</v>
      </c>
    </row>
    <row r="77" spans="1:11">
      <c r="A77" s="3">
        <v>1076</v>
      </c>
      <c r="B77" s="7">
        <v>45197</v>
      </c>
      <c r="C77" t="s">
        <v>20</v>
      </c>
      <c r="D77" t="s">
        <v>14</v>
      </c>
      <c r="E77" t="s">
        <v>21</v>
      </c>
      <c r="F77">
        <v>3</v>
      </c>
      <c r="G77">
        <v>82</v>
      </c>
      <c r="H77" s="2">
        <v>0</v>
      </c>
      <c r="I77" s="5">
        <f>Table1[[#This Row],[ Unit Price ]]*Table1[[#This Row],[ Quantity ]]*(1 -Table1[[#This Row],[ Discount ]])</f>
        <v>246</v>
      </c>
      <c r="J77" s="9" t="str">
        <f>TEXT(Table1[[#This Row],[ Date ]], "mmmm")</f>
        <v>September</v>
      </c>
      <c r="K77">
        <f>MONTH(Table1[[#This Row],[ Date ]])</f>
        <v>9</v>
      </c>
    </row>
    <row r="78" spans="1:11">
      <c r="A78" s="3">
        <v>1077</v>
      </c>
      <c r="B78" s="7">
        <v>45199</v>
      </c>
      <c r="C78" t="s">
        <v>22</v>
      </c>
      <c r="D78" t="s">
        <v>14</v>
      </c>
      <c r="E78" t="s">
        <v>15</v>
      </c>
      <c r="F78">
        <v>2</v>
      </c>
      <c r="G78">
        <v>260</v>
      </c>
      <c r="H78" s="2">
        <v>0.1</v>
      </c>
      <c r="I78" s="5">
        <f>Table1[[#This Row],[ Unit Price ]]*Table1[[#This Row],[ Quantity ]]*(1 -Table1[[#This Row],[ Discount ]])</f>
        <v>468</v>
      </c>
      <c r="J78" s="9" t="str">
        <f>TEXT(Table1[[#This Row],[ Date ]], "mmmm")</f>
        <v>September</v>
      </c>
      <c r="K78">
        <f>MONTH(Table1[[#This Row],[ Date ]])</f>
        <v>9</v>
      </c>
    </row>
    <row r="79" spans="1:11">
      <c r="A79" s="3">
        <v>1078</v>
      </c>
      <c r="B79" s="7">
        <v>45201</v>
      </c>
      <c r="C79" t="s">
        <v>23</v>
      </c>
      <c r="D79" t="s">
        <v>24</v>
      </c>
      <c r="E79" t="s">
        <v>17</v>
      </c>
      <c r="F79">
        <v>1</v>
      </c>
      <c r="G79">
        <v>165</v>
      </c>
      <c r="H79" s="2">
        <v>0</v>
      </c>
      <c r="I79" s="5">
        <f>Table1[[#This Row],[ Unit Price ]]*Table1[[#This Row],[ Quantity ]]*(1 -Table1[[#This Row],[ Discount ]])</f>
        <v>165</v>
      </c>
      <c r="J79" s="9" t="str">
        <f>TEXT(Table1[[#This Row],[ Date ]], "mmmm")</f>
        <v>October</v>
      </c>
      <c r="K79">
        <f>MONTH(Table1[[#This Row],[ Date ]])</f>
        <v>10</v>
      </c>
    </row>
    <row r="80" spans="1:11">
      <c r="A80" s="3">
        <v>1079</v>
      </c>
      <c r="B80" s="7">
        <v>45203</v>
      </c>
      <c r="C80" t="s">
        <v>25</v>
      </c>
      <c r="D80" t="s">
        <v>24</v>
      </c>
      <c r="E80" t="s">
        <v>19</v>
      </c>
      <c r="F80">
        <v>2</v>
      </c>
      <c r="G80">
        <v>380</v>
      </c>
      <c r="H80" s="2">
        <v>0.05</v>
      </c>
      <c r="I80" s="5">
        <f>Table1[[#This Row],[ Unit Price ]]*Table1[[#This Row],[ Quantity ]]*(1 -Table1[[#This Row],[ Discount ]])</f>
        <v>722</v>
      </c>
      <c r="J80" s="9" t="str">
        <f>TEXT(Table1[[#This Row],[ Date ]], "mmmm")</f>
        <v>October</v>
      </c>
      <c r="K80">
        <f>MONTH(Table1[[#This Row],[ Date ]])</f>
        <v>10</v>
      </c>
    </row>
    <row r="81" spans="1:11">
      <c r="A81" s="3">
        <v>1080</v>
      </c>
      <c r="B81" s="7">
        <v>45205</v>
      </c>
      <c r="C81" t="s">
        <v>26</v>
      </c>
      <c r="D81" t="s">
        <v>24</v>
      </c>
      <c r="E81" t="s">
        <v>21</v>
      </c>
      <c r="F81">
        <v>3</v>
      </c>
      <c r="G81">
        <v>44</v>
      </c>
      <c r="H81" s="2">
        <v>0</v>
      </c>
      <c r="I81" s="5">
        <f>Table1[[#This Row],[ Unit Price ]]*Table1[[#This Row],[ Quantity ]]*(1 -Table1[[#This Row],[ Discount ]])</f>
        <v>132</v>
      </c>
      <c r="J81" s="9" t="str">
        <f>TEXT(Table1[[#This Row],[ Date ]], "mmmm")</f>
        <v>October</v>
      </c>
      <c r="K81">
        <f>MONTH(Table1[[#This Row],[ Date ]])</f>
        <v>10</v>
      </c>
    </row>
    <row r="82" spans="1:11">
      <c r="A82" s="3">
        <v>1081</v>
      </c>
      <c r="B82" s="7">
        <v>45207</v>
      </c>
      <c r="C82" t="s">
        <v>13</v>
      </c>
      <c r="D82" t="s">
        <v>14</v>
      </c>
      <c r="E82" t="s">
        <v>15</v>
      </c>
      <c r="F82">
        <v>1</v>
      </c>
      <c r="G82">
        <v>940</v>
      </c>
      <c r="H82" s="2">
        <v>0.05</v>
      </c>
      <c r="I82" s="5">
        <f>Table1[[#This Row],[ Unit Price ]]*Table1[[#This Row],[ Quantity ]]*(1 -Table1[[#This Row],[ Discount ]])</f>
        <v>893</v>
      </c>
      <c r="J82" s="9" t="str">
        <f>TEXT(Table1[[#This Row],[ Date ]], "mmmm")</f>
        <v>October</v>
      </c>
      <c r="K82">
        <f>MONTH(Table1[[#This Row],[ Date ]])</f>
        <v>10</v>
      </c>
    </row>
    <row r="83" spans="1:11">
      <c r="A83" s="3">
        <v>1082</v>
      </c>
      <c r="B83" s="7">
        <v>45209</v>
      </c>
      <c r="C83" t="s">
        <v>16</v>
      </c>
      <c r="D83" t="s">
        <v>14</v>
      </c>
      <c r="E83" t="s">
        <v>17</v>
      </c>
      <c r="F83">
        <v>8</v>
      </c>
      <c r="G83">
        <v>30</v>
      </c>
      <c r="H83" s="2">
        <v>0</v>
      </c>
      <c r="I83" s="5">
        <f>Table1[[#This Row],[ Unit Price ]]*Table1[[#This Row],[ Quantity ]]*(1 -Table1[[#This Row],[ Discount ]])</f>
        <v>240</v>
      </c>
      <c r="J83" s="9" t="str">
        <f>TEXT(Table1[[#This Row],[ Date ]], "mmmm")</f>
        <v>October</v>
      </c>
      <c r="K83">
        <f>MONTH(Table1[[#This Row],[ Date ]])</f>
        <v>10</v>
      </c>
    </row>
    <row r="84" spans="1:11">
      <c r="A84" s="3">
        <v>1083</v>
      </c>
      <c r="B84" s="7">
        <v>45211</v>
      </c>
      <c r="C84" t="s">
        <v>18</v>
      </c>
      <c r="D84" t="s">
        <v>14</v>
      </c>
      <c r="E84" t="s">
        <v>19</v>
      </c>
      <c r="F84">
        <v>3</v>
      </c>
      <c r="G84">
        <v>55</v>
      </c>
      <c r="H84" s="2">
        <v>0.1</v>
      </c>
      <c r="I84" s="5">
        <f>Table1[[#This Row],[ Unit Price ]]*Table1[[#This Row],[ Quantity ]]*(1 -Table1[[#This Row],[ Discount ]])</f>
        <v>148.5</v>
      </c>
      <c r="J84" s="9" t="str">
        <f>TEXT(Table1[[#This Row],[ Date ]], "mmmm")</f>
        <v>October</v>
      </c>
      <c r="K84">
        <f>MONTH(Table1[[#This Row],[ Date ]])</f>
        <v>10</v>
      </c>
    </row>
    <row r="85" spans="1:11">
      <c r="A85" s="3">
        <v>1084</v>
      </c>
      <c r="B85" s="7">
        <v>45213</v>
      </c>
      <c r="C85" t="s">
        <v>20</v>
      </c>
      <c r="D85" t="s">
        <v>14</v>
      </c>
      <c r="E85" t="s">
        <v>21</v>
      </c>
      <c r="F85">
        <v>4</v>
      </c>
      <c r="G85">
        <v>85</v>
      </c>
      <c r="H85" s="2">
        <v>0</v>
      </c>
      <c r="I85" s="5">
        <f>Table1[[#This Row],[ Unit Price ]]*Table1[[#This Row],[ Quantity ]]*(1 -Table1[[#This Row],[ Discount ]])</f>
        <v>340</v>
      </c>
      <c r="J85" s="9" t="str">
        <f>TEXT(Table1[[#This Row],[ Date ]], "mmmm")</f>
        <v>October</v>
      </c>
      <c r="K85">
        <f>MONTH(Table1[[#This Row],[ Date ]])</f>
        <v>10</v>
      </c>
    </row>
    <row r="86" spans="1:11">
      <c r="A86" s="3">
        <v>1085</v>
      </c>
      <c r="B86" s="7">
        <v>45215</v>
      </c>
      <c r="C86" t="s">
        <v>22</v>
      </c>
      <c r="D86" t="s">
        <v>14</v>
      </c>
      <c r="E86" t="s">
        <v>15</v>
      </c>
      <c r="F86">
        <v>1</v>
      </c>
      <c r="G86">
        <v>270</v>
      </c>
      <c r="H86" s="2">
        <v>0.15</v>
      </c>
      <c r="I86" s="5">
        <f>Table1[[#This Row],[ Unit Price ]]*Table1[[#This Row],[ Quantity ]]*(1 -Table1[[#This Row],[ Discount ]])</f>
        <v>229.5</v>
      </c>
      <c r="J86" s="9" t="str">
        <f>TEXT(Table1[[#This Row],[ Date ]], "mmmm")</f>
        <v>October</v>
      </c>
      <c r="K86">
        <f>MONTH(Table1[[#This Row],[ Date ]])</f>
        <v>10</v>
      </c>
    </row>
    <row r="87" spans="1:11">
      <c r="A87" s="3">
        <v>1086</v>
      </c>
      <c r="B87" s="7">
        <v>45217</v>
      </c>
      <c r="C87" t="s">
        <v>23</v>
      </c>
      <c r="D87" t="s">
        <v>24</v>
      </c>
      <c r="E87" t="s">
        <v>17</v>
      </c>
      <c r="F87">
        <v>2</v>
      </c>
      <c r="G87">
        <v>170</v>
      </c>
      <c r="H87" s="2">
        <v>0</v>
      </c>
      <c r="I87" s="5">
        <f>Table1[[#This Row],[ Unit Price ]]*Table1[[#This Row],[ Quantity ]]*(1 -Table1[[#This Row],[ Discount ]])</f>
        <v>340</v>
      </c>
      <c r="J87" s="9" t="str">
        <f>TEXT(Table1[[#This Row],[ Date ]], "mmmm")</f>
        <v>October</v>
      </c>
      <c r="K87">
        <f>MONTH(Table1[[#This Row],[ Date ]])</f>
        <v>10</v>
      </c>
    </row>
    <row r="88" spans="1:11">
      <c r="A88" s="3">
        <v>1087</v>
      </c>
      <c r="B88" s="7">
        <v>45219</v>
      </c>
      <c r="C88" t="s">
        <v>25</v>
      </c>
      <c r="D88" t="s">
        <v>24</v>
      </c>
      <c r="E88" t="s">
        <v>19</v>
      </c>
      <c r="F88">
        <v>1</v>
      </c>
      <c r="G88">
        <v>390</v>
      </c>
      <c r="H88" s="2">
        <v>0.05</v>
      </c>
      <c r="I88" s="5">
        <f>Table1[[#This Row],[ Unit Price ]]*Table1[[#This Row],[ Quantity ]]*(1 -Table1[[#This Row],[ Discount ]])</f>
        <v>370.5</v>
      </c>
      <c r="J88" s="9" t="str">
        <f>TEXT(Table1[[#This Row],[ Date ]], "mmmm")</f>
        <v>October</v>
      </c>
      <c r="K88">
        <f>MONTH(Table1[[#This Row],[ Date ]])</f>
        <v>10</v>
      </c>
    </row>
    <row r="89" spans="1:11">
      <c r="A89" s="3">
        <v>1088</v>
      </c>
      <c r="B89" s="7">
        <v>45221</v>
      </c>
      <c r="C89" t="s">
        <v>26</v>
      </c>
      <c r="D89" t="s">
        <v>24</v>
      </c>
      <c r="E89" t="s">
        <v>21</v>
      </c>
      <c r="F89">
        <v>4</v>
      </c>
      <c r="G89">
        <v>46</v>
      </c>
      <c r="H89" s="2">
        <v>0</v>
      </c>
      <c r="I89" s="5">
        <f>Table1[[#This Row],[ Unit Price ]]*Table1[[#This Row],[ Quantity ]]*(1 -Table1[[#This Row],[ Discount ]])</f>
        <v>184</v>
      </c>
      <c r="J89" s="9" t="str">
        <f>TEXT(Table1[[#This Row],[ Date ]], "mmmm")</f>
        <v>October</v>
      </c>
      <c r="K89">
        <f>MONTH(Table1[[#This Row],[ Date ]])</f>
        <v>10</v>
      </c>
    </row>
    <row r="90" spans="1:11">
      <c r="A90" s="3">
        <v>1089</v>
      </c>
      <c r="B90" s="7">
        <v>45223</v>
      </c>
      <c r="C90" t="s">
        <v>13</v>
      </c>
      <c r="D90" t="s">
        <v>14</v>
      </c>
      <c r="E90" t="s">
        <v>15</v>
      </c>
      <c r="F90">
        <v>2</v>
      </c>
      <c r="G90">
        <v>950</v>
      </c>
      <c r="H90" s="2">
        <v>0.1</v>
      </c>
      <c r="I90" s="5">
        <f>Table1[[#This Row],[ Unit Price ]]*Table1[[#This Row],[ Quantity ]]*(1 -Table1[[#This Row],[ Discount ]])</f>
        <v>1710</v>
      </c>
      <c r="J90" s="9" t="str">
        <f>TEXT(Table1[[#This Row],[ Date ]], "mmmm")</f>
        <v>October</v>
      </c>
      <c r="K90">
        <f>MONTH(Table1[[#This Row],[ Date ]])</f>
        <v>10</v>
      </c>
    </row>
    <row r="91" spans="1:11">
      <c r="A91" s="3">
        <v>1090</v>
      </c>
      <c r="B91" s="7">
        <v>45225</v>
      </c>
      <c r="C91" t="s">
        <v>16</v>
      </c>
      <c r="D91" t="s">
        <v>14</v>
      </c>
      <c r="E91" t="s">
        <v>17</v>
      </c>
      <c r="F91">
        <v>5</v>
      </c>
      <c r="G91">
        <v>31</v>
      </c>
      <c r="H91" s="2">
        <v>0</v>
      </c>
      <c r="I91" s="5">
        <f>Table1[[#This Row],[ Unit Price ]]*Table1[[#This Row],[ Quantity ]]*(1 -Table1[[#This Row],[ Discount ]])</f>
        <v>155</v>
      </c>
      <c r="J91" s="9" t="str">
        <f>TEXT(Table1[[#This Row],[ Date ]], "mmmm")</f>
        <v>October</v>
      </c>
      <c r="K91">
        <f>MONTH(Table1[[#This Row],[ Date ]])</f>
        <v>10</v>
      </c>
    </row>
    <row r="92" spans="1:11">
      <c r="A92" s="3">
        <v>1091</v>
      </c>
      <c r="B92" s="7">
        <v>45227</v>
      </c>
      <c r="C92" t="s">
        <v>18</v>
      </c>
      <c r="D92" t="s">
        <v>14</v>
      </c>
      <c r="E92" t="s">
        <v>19</v>
      </c>
      <c r="F92">
        <v>3</v>
      </c>
      <c r="G92">
        <v>56</v>
      </c>
      <c r="H92" s="2">
        <v>0.1</v>
      </c>
      <c r="I92" s="5">
        <f>Table1[[#This Row],[ Unit Price ]]*Table1[[#This Row],[ Quantity ]]*(1 -Table1[[#This Row],[ Discount ]])</f>
        <v>151.20000000000002</v>
      </c>
      <c r="J92" s="9" t="str">
        <f>TEXT(Table1[[#This Row],[ Date ]], "mmmm")</f>
        <v>October</v>
      </c>
      <c r="K92">
        <f>MONTH(Table1[[#This Row],[ Date ]])</f>
        <v>10</v>
      </c>
    </row>
    <row r="93" spans="1:11">
      <c r="A93" s="3">
        <v>1092</v>
      </c>
      <c r="B93" s="7">
        <v>45229</v>
      </c>
      <c r="C93" t="s">
        <v>20</v>
      </c>
      <c r="D93" t="s">
        <v>14</v>
      </c>
      <c r="E93" t="s">
        <v>21</v>
      </c>
      <c r="F93">
        <v>2</v>
      </c>
      <c r="G93">
        <v>88</v>
      </c>
      <c r="H93" s="2">
        <v>0</v>
      </c>
      <c r="I93" s="5">
        <f>Table1[[#This Row],[ Unit Price ]]*Table1[[#This Row],[ Quantity ]]*(1 -Table1[[#This Row],[ Discount ]])</f>
        <v>176</v>
      </c>
      <c r="J93" s="9" t="str">
        <f>TEXT(Table1[[#This Row],[ Date ]], "mmmm")</f>
        <v>October</v>
      </c>
      <c r="K93">
        <f>MONTH(Table1[[#This Row],[ Date ]])</f>
        <v>10</v>
      </c>
    </row>
    <row r="94" spans="1:11">
      <c r="A94" s="3">
        <v>1093</v>
      </c>
      <c r="B94" s="7">
        <v>45231</v>
      </c>
      <c r="C94" t="s">
        <v>22</v>
      </c>
      <c r="D94" t="s">
        <v>14</v>
      </c>
      <c r="E94" t="s">
        <v>15</v>
      </c>
      <c r="F94">
        <v>1</v>
      </c>
      <c r="G94">
        <v>280</v>
      </c>
      <c r="H94" s="2">
        <v>0.1</v>
      </c>
      <c r="I94" s="5">
        <f>Table1[[#This Row],[ Unit Price ]]*Table1[[#This Row],[ Quantity ]]*(1 -Table1[[#This Row],[ Discount ]])</f>
        <v>252</v>
      </c>
      <c r="J94" s="9" t="str">
        <f>TEXT(Table1[[#This Row],[ Date ]], "mmmm")</f>
        <v>November</v>
      </c>
      <c r="K94">
        <f>MONTH(Table1[[#This Row],[ Date ]])</f>
        <v>11</v>
      </c>
    </row>
    <row r="95" spans="1:11">
      <c r="A95" s="3">
        <v>1094</v>
      </c>
      <c r="B95" s="7">
        <v>45233</v>
      </c>
      <c r="C95" t="s">
        <v>23</v>
      </c>
      <c r="D95" t="s">
        <v>24</v>
      </c>
      <c r="E95" t="s">
        <v>17</v>
      </c>
      <c r="F95">
        <v>3</v>
      </c>
      <c r="G95">
        <v>175</v>
      </c>
      <c r="H95" s="2">
        <v>0</v>
      </c>
      <c r="I95" s="5">
        <f>Table1[[#This Row],[ Unit Price ]]*Table1[[#This Row],[ Quantity ]]*(1 -Table1[[#This Row],[ Discount ]])</f>
        <v>525</v>
      </c>
      <c r="J95" s="9" t="str">
        <f>TEXT(Table1[[#This Row],[ Date ]], "mmmm")</f>
        <v>November</v>
      </c>
      <c r="K95">
        <f>MONTH(Table1[[#This Row],[ Date ]])</f>
        <v>11</v>
      </c>
    </row>
    <row r="96" spans="1:11">
      <c r="A96" s="3">
        <v>1095</v>
      </c>
      <c r="B96" s="7">
        <v>45235</v>
      </c>
      <c r="C96" t="s">
        <v>25</v>
      </c>
      <c r="D96" t="s">
        <v>24</v>
      </c>
      <c r="E96" t="s">
        <v>19</v>
      </c>
      <c r="F96">
        <v>1</v>
      </c>
      <c r="G96">
        <v>400</v>
      </c>
      <c r="H96" s="2">
        <v>0.05</v>
      </c>
      <c r="I96" s="5">
        <f>Table1[[#This Row],[ Unit Price ]]*Table1[[#This Row],[ Quantity ]]*(1 -Table1[[#This Row],[ Discount ]])</f>
        <v>380</v>
      </c>
      <c r="J96" s="9" t="str">
        <f>TEXT(Table1[[#This Row],[ Date ]], "mmmm")</f>
        <v>November</v>
      </c>
      <c r="K96">
        <f>MONTH(Table1[[#This Row],[ Date ]])</f>
        <v>11</v>
      </c>
    </row>
    <row r="97" spans="1:11">
      <c r="A97" s="3">
        <v>1096</v>
      </c>
      <c r="B97" s="7">
        <v>45237</v>
      </c>
      <c r="C97" t="s">
        <v>26</v>
      </c>
      <c r="D97" t="s">
        <v>24</v>
      </c>
      <c r="E97" t="s">
        <v>21</v>
      </c>
      <c r="F97">
        <v>3</v>
      </c>
      <c r="G97">
        <v>47</v>
      </c>
      <c r="H97" s="2">
        <v>0</v>
      </c>
      <c r="I97" s="5">
        <f>Table1[[#This Row],[ Unit Price ]]*Table1[[#This Row],[ Quantity ]]*(1 -Table1[[#This Row],[ Discount ]])</f>
        <v>141</v>
      </c>
      <c r="J97" s="9" t="str">
        <f>TEXT(Table1[[#This Row],[ Date ]], "mmmm")</f>
        <v>November</v>
      </c>
      <c r="K97">
        <f>MONTH(Table1[[#This Row],[ Date ]])</f>
        <v>11</v>
      </c>
    </row>
    <row r="98" spans="1:11">
      <c r="A98" s="3">
        <v>1097</v>
      </c>
      <c r="B98" s="7">
        <v>45239</v>
      </c>
      <c r="C98" t="s">
        <v>13</v>
      </c>
      <c r="D98" t="s">
        <v>14</v>
      </c>
      <c r="E98" t="s">
        <v>15</v>
      </c>
      <c r="F98">
        <v>1</v>
      </c>
      <c r="G98">
        <v>960</v>
      </c>
      <c r="H98" s="2">
        <v>0.05</v>
      </c>
      <c r="I98" s="5">
        <f>Table1[[#This Row],[ Unit Price ]]*Table1[[#This Row],[ Quantity ]]*(1 -Table1[[#This Row],[ Discount ]])</f>
        <v>912</v>
      </c>
      <c r="J98" s="9" t="str">
        <f>TEXT(Table1[[#This Row],[ Date ]], "mmmm")</f>
        <v>November</v>
      </c>
      <c r="K98">
        <f>MONTH(Table1[[#This Row],[ Date ]])</f>
        <v>11</v>
      </c>
    </row>
    <row r="99" spans="1:11">
      <c r="A99" s="3">
        <v>1098</v>
      </c>
      <c r="B99" s="7">
        <v>45241</v>
      </c>
      <c r="C99" t="s">
        <v>16</v>
      </c>
      <c r="D99" t="s">
        <v>14</v>
      </c>
      <c r="E99" t="s">
        <v>17</v>
      </c>
      <c r="F99">
        <v>6</v>
      </c>
      <c r="G99">
        <v>32</v>
      </c>
      <c r="H99" s="2">
        <v>0</v>
      </c>
      <c r="I99" s="5">
        <f>Table1[[#This Row],[ Unit Price ]]*Table1[[#This Row],[ Quantity ]]*(1 -Table1[[#This Row],[ Discount ]])</f>
        <v>192</v>
      </c>
      <c r="J99" s="9" t="str">
        <f>TEXT(Table1[[#This Row],[ Date ]], "mmmm")</f>
        <v>November</v>
      </c>
      <c r="K99">
        <f>MONTH(Table1[[#This Row],[ Date ]])</f>
        <v>11</v>
      </c>
    </row>
    <row r="100" spans="1:11">
      <c r="A100" s="3">
        <v>1099</v>
      </c>
      <c r="B100" s="7">
        <v>45243</v>
      </c>
      <c r="C100" t="s">
        <v>18</v>
      </c>
      <c r="D100" t="s">
        <v>14</v>
      </c>
      <c r="E100" t="s">
        <v>19</v>
      </c>
      <c r="F100">
        <v>3</v>
      </c>
      <c r="G100">
        <v>58</v>
      </c>
      <c r="H100" s="2">
        <v>0.1</v>
      </c>
      <c r="I100" s="5">
        <f>Table1[[#This Row],[ Unit Price ]]*Table1[[#This Row],[ Quantity ]]*(1 -Table1[[#This Row],[ Discount ]])</f>
        <v>156.6</v>
      </c>
      <c r="J100" s="9" t="str">
        <f>TEXT(Table1[[#This Row],[ Date ]], "mmmm")</f>
        <v>November</v>
      </c>
      <c r="K100">
        <f>MONTH(Table1[[#This Row],[ Date ]])</f>
        <v>11</v>
      </c>
    </row>
    <row r="101" spans="1:11">
      <c r="A101" s="3">
        <v>1100</v>
      </c>
      <c r="B101" s="7">
        <v>45245</v>
      </c>
      <c r="C101" t="s">
        <v>20</v>
      </c>
      <c r="D101" t="s">
        <v>14</v>
      </c>
      <c r="E101" t="s">
        <v>21</v>
      </c>
      <c r="F101">
        <v>4</v>
      </c>
      <c r="G101">
        <v>90</v>
      </c>
      <c r="H101" s="2">
        <v>0</v>
      </c>
      <c r="I101" s="5">
        <f>Table1[[#This Row],[ Unit Price ]]*Table1[[#This Row],[ Quantity ]]*(1 -Table1[[#This Row],[ Discount ]])</f>
        <v>360</v>
      </c>
      <c r="J101" s="9" t="str">
        <f>TEXT(Table1[[#This Row],[ Date ]], "mmmm")</f>
        <v>November</v>
      </c>
      <c r="K101">
        <f>MONTH(Table1[[#This Row],[ Date ]])</f>
        <v>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9A31-0C35-44BA-B9D3-094E68C74DDA}">
  <dimension ref="A3:B12"/>
  <sheetViews>
    <sheetView workbookViewId="0">
      <selection activeCell="A4" sqref="A4"/>
    </sheetView>
  </sheetViews>
  <sheetFormatPr defaultRowHeight="13.9"/>
  <cols>
    <col min="1" max="1" width="12.375" bestFit="1" customWidth="1"/>
    <col min="2" max="2" width="21" bestFit="1" customWidth="1"/>
  </cols>
  <sheetData>
    <row r="3" spans="1:2">
      <c r="A3" s="6" t="s">
        <v>4</v>
      </c>
      <c r="B3" t="s">
        <v>1</v>
      </c>
    </row>
    <row r="4" spans="1:2">
      <c r="A4" t="s">
        <v>13</v>
      </c>
      <c r="B4" s="5">
        <v>15020</v>
      </c>
    </row>
    <row r="5" spans="1:2">
      <c r="A5" t="s">
        <v>25</v>
      </c>
      <c r="B5" s="5">
        <v>4935.25</v>
      </c>
    </row>
    <row r="6" spans="1:2">
      <c r="A6" t="s">
        <v>23</v>
      </c>
      <c r="B6" s="5">
        <v>3531</v>
      </c>
    </row>
    <row r="7" spans="1:2">
      <c r="A7" t="s">
        <v>20</v>
      </c>
      <c r="B7" s="5">
        <v>3318</v>
      </c>
    </row>
    <row r="8" spans="1:2">
      <c r="A8" t="s">
        <v>22</v>
      </c>
      <c r="B8" s="5">
        <v>3109.25</v>
      </c>
    </row>
    <row r="9" spans="1:2">
      <c r="A9" t="s">
        <v>16</v>
      </c>
      <c r="B9" s="5">
        <v>2082</v>
      </c>
    </row>
    <row r="10" spans="1:2">
      <c r="A10" t="s">
        <v>18</v>
      </c>
      <c r="B10" s="5">
        <v>1634.0000000000002</v>
      </c>
    </row>
    <row r="11" spans="1:2">
      <c r="A11" t="s">
        <v>26</v>
      </c>
      <c r="B11" s="5">
        <v>1628</v>
      </c>
    </row>
    <row r="12" spans="1:2">
      <c r="A12" t="s">
        <v>27</v>
      </c>
      <c r="B12" s="5">
        <v>35257.5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5982D-B657-4A34-811D-DB9D84C304A0}">
  <dimension ref="A3:B8"/>
  <sheetViews>
    <sheetView workbookViewId="0">
      <selection activeCell="E11" sqref="E11"/>
    </sheetView>
  </sheetViews>
  <sheetFormatPr defaultRowHeight="13.9"/>
  <cols>
    <col min="1" max="1" width="11.25" bestFit="1" customWidth="1"/>
    <col min="2" max="2" width="21" bestFit="1" customWidth="1"/>
  </cols>
  <sheetData>
    <row r="3" spans="1:2">
      <c r="A3" s="6" t="s">
        <v>6</v>
      </c>
      <c r="B3" t="s">
        <v>1</v>
      </c>
    </row>
    <row r="4" spans="1:2">
      <c r="A4" t="s">
        <v>15</v>
      </c>
      <c r="B4" s="5">
        <v>18129.25</v>
      </c>
    </row>
    <row r="5" spans="1:2">
      <c r="A5" t="s">
        <v>19</v>
      </c>
      <c r="B5" s="5">
        <v>6569.2499999999991</v>
      </c>
    </row>
    <row r="6" spans="1:2">
      <c r="A6" t="s">
        <v>17</v>
      </c>
      <c r="B6" s="5">
        <v>5613</v>
      </c>
    </row>
    <row r="7" spans="1:2">
      <c r="A7" t="s">
        <v>21</v>
      </c>
      <c r="B7" s="5">
        <v>4946</v>
      </c>
    </row>
    <row r="8" spans="1:2">
      <c r="A8" t="s">
        <v>27</v>
      </c>
      <c r="B8" s="5">
        <v>35257.5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2FCBE-4D7B-438F-A9F1-D7B9EE762DA8}">
  <dimension ref="A3:B6"/>
  <sheetViews>
    <sheetView workbookViewId="0">
      <selection activeCell="A3" sqref="A3"/>
    </sheetView>
  </sheetViews>
  <sheetFormatPr defaultRowHeight="13.9"/>
  <cols>
    <col min="1" max="1" width="12.625" bestFit="1" customWidth="1"/>
    <col min="2" max="2" width="21" bestFit="1" customWidth="1"/>
  </cols>
  <sheetData>
    <row r="3" spans="1:2">
      <c r="A3" s="6" t="s">
        <v>5</v>
      </c>
      <c r="B3" t="s">
        <v>1</v>
      </c>
    </row>
    <row r="4" spans="1:2">
      <c r="A4" t="s">
        <v>14</v>
      </c>
      <c r="B4" s="5">
        <v>25163.250000000004</v>
      </c>
    </row>
    <row r="5" spans="1:2">
      <c r="A5" t="s">
        <v>24</v>
      </c>
      <c r="B5" s="5">
        <v>10094.25</v>
      </c>
    </row>
    <row r="6" spans="1:2">
      <c r="A6" t="s">
        <v>27</v>
      </c>
      <c r="B6" s="5">
        <v>35257.5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CDF3-FF27-4CB2-B891-B52395ADA80B}">
  <dimension ref="A3:C204"/>
  <sheetViews>
    <sheetView workbookViewId="0">
      <selection activeCell="C11" sqref="C11"/>
    </sheetView>
  </sheetViews>
  <sheetFormatPr defaultRowHeight="13.9"/>
  <cols>
    <col min="1" max="1" width="11.25" style="8" bestFit="1" customWidth="1"/>
    <col min="2" max="2" width="21" bestFit="1" customWidth="1"/>
    <col min="3" max="3" width="20.875" bestFit="1" customWidth="1"/>
    <col min="4" max="102" width="11.375" bestFit="1" customWidth="1"/>
  </cols>
  <sheetData>
    <row r="3" spans="1:3">
      <c r="A3" s="6" t="s">
        <v>11</v>
      </c>
      <c r="B3" t="s">
        <v>1</v>
      </c>
    </row>
    <row r="4" spans="1:3">
      <c r="A4" t="s">
        <v>28</v>
      </c>
      <c r="B4" s="5">
        <v>5487.5</v>
      </c>
    </row>
    <row r="5" spans="1:3">
      <c r="A5" t="s">
        <v>29</v>
      </c>
      <c r="B5" s="5">
        <v>5030.75</v>
      </c>
    </row>
    <row r="6" spans="1:3">
      <c r="A6" t="s">
        <v>30</v>
      </c>
      <c r="B6" s="5">
        <v>4525.1499999999996</v>
      </c>
    </row>
    <row r="7" spans="1:3">
      <c r="A7" t="s">
        <v>31</v>
      </c>
      <c r="B7" s="5">
        <v>5638.5</v>
      </c>
    </row>
    <row r="8" spans="1:3">
      <c r="A8" t="s">
        <v>32</v>
      </c>
      <c r="B8" s="5">
        <v>5700.2999999999993</v>
      </c>
    </row>
    <row r="9" spans="1:3">
      <c r="A9" t="s">
        <v>33</v>
      </c>
      <c r="B9" s="5">
        <v>5956.7</v>
      </c>
    </row>
    <row r="10" spans="1:3">
      <c r="A10" t="s">
        <v>34</v>
      </c>
      <c r="B10" s="5">
        <v>2918.6</v>
      </c>
    </row>
    <row r="11" spans="1:3">
      <c r="A11" s="9" t="s">
        <v>27</v>
      </c>
      <c r="B11" s="5">
        <v>35257.5</v>
      </c>
      <c r="C11">
        <f>GETPIVOTDATA(" Total Revenue",$A$3)</f>
        <v>35257.5</v>
      </c>
    </row>
    <row r="12" spans="1:3">
      <c r="A12"/>
    </row>
    <row r="13" spans="1:3">
      <c r="A13"/>
    </row>
    <row r="14" spans="1:3">
      <c r="A14"/>
    </row>
    <row r="15" spans="1:3">
      <c r="A15"/>
    </row>
    <row r="16" spans="1:3">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41F3A-F117-4540-B875-5A5D84ABB19F}">
  <dimension ref="A1"/>
  <sheetViews>
    <sheetView tabSelected="1" topLeftCell="B1" zoomScale="60" zoomScaleNormal="60" workbookViewId="0">
      <selection activeCell="Z13" sqref="Z13"/>
    </sheetView>
  </sheetViews>
  <sheetFormatPr defaultColWidth="8.75" defaultRowHeight="13.9"/>
  <cols>
    <col min="1" max="1" width="19.25" style="10" customWidth="1"/>
    <col min="2" max="16384" width="8.7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2026-04-11T12:33:55Z</dcterms:created>
  <dcterms:modified xsi:type="dcterms:W3CDTF">2026-04-14T07:10:12Z</dcterms:modified>
  <cp:category/>
  <cp:contentStatus/>
</cp:coreProperties>
</file>